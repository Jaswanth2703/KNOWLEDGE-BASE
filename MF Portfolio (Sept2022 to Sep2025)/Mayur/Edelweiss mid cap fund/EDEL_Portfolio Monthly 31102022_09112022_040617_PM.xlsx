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Nidhi.Tiwari\Desktop\"/>
    </mc:Choice>
  </mc:AlternateContent>
  <xr:revisionPtr revIDLastSave="0" documentId="13_ncr:1_{DBF8AEC3-18B1-436B-87E0-36CC91661CDE}" xr6:coauthVersionLast="47" xr6:coauthVersionMax="47" xr10:uidLastSave="{00000000-0000-0000-0000-000000000000}"/>
  <bookViews>
    <workbookView xWindow="-110" yWindow="-110" windowWidth="19420" windowHeight="10420" firstSheet="4" xr2:uid="{00000000-000D-0000-FFFF-FFFF00000000}"/>
  </bookViews>
  <sheets>
    <sheet name="Index" sheetId="45" r:id="rId1"/>
    <sheet name="EDACBF" sheetId="1" r:id="rId2"/>
    <sheet name="EDBE23" sheetId="2" r:id="rId3"/>
    <sheet name="EDBE25" sheetId="3" r:id="rId4"/>
    <sheet name="EDBE30" sheetId="4" r:id="rId5"/>
    <sheet name="EDBE31" sheetId="5" r:id="rId6"/>
    <sheet name="EDBE32" sheetId="6" r:id="rId7"/>
    <sheet name="EDBPDF" sheetId="7" r:id="rId8"/>
    <sheet name="EDCG27" sheetId="8" r:id="rId9"/>
    <sheet name="EDCG37" sheetId="9" r:id="rId10"/>
    <sheet name="EDCPSF" sheetId="10" r:id="rId11"/>
    <sheet name="EDFF23" sheetId="11" r:id="rId12"/>
    <sheet name="EDFF25" sheetId="12" r:id="rId13"/>
    <sheet name="EDFF30" sheetId="13" r:id="rId14"/>
    <sheet name="EDFF31" sheetId="14" r:id="rId15"/>
    <sheet name="EDFF32" sheetId="15" r:id="rId16"/>
    <sheet name="EDGSEC" sheetId="16" r:id="rId17"/>
    <sheet name="EDNP27" sheetId="17" r:id="rId18"/>
    <sheet name="EDNPSF" sheetId="18" r:id="rId19"/>
    <sheet name="EDONTF" sheetId="19" r:id="rId20"/>
    <sheet name="EEARBF" sheetId="20" r:id="rId21"/>
    <sheet name="EEARFD" sheetId="21" r:id="rId22"/>
    <sheet name="EEDGEF" sheetId="22" r:id="rId23"/>
    <sheet name="EEECRF" sheetId="23" r:id="rId24"/>
    <sheet name="EEELSS" sheetId="24" r:id="rId25"/>
    <sheet name="EEEQTF" sheetId="25" r:id="rId26"/>
    <sheet name="EEESCF" sheetId="26" r:id="rId27"/>
    <sheet name="EEESSF" sheetId="27" r:id="rId28"/>
    <sheet name="EEFOCF" sheetId="28" r:id="rId29"/>
    <sheet name="EEIF30" sheetId="29" r:id="rId30"/>
    <sheet name="EEIF50" sheetId="30" r:id="rId31"/>
    <sheet name="EELMIF" sheetId="31" r:id="rId32"/>
    <sheet name="EEMOF1" sheetId="32" r:id="rId33"/>
    <sheet name="EENFBA" sheetId="33" r:id="rId34"/>
    <sheet name="EEPRUA" sheetId="34" r:id="rId35"/>
    <sheet name="EESMCF" sheetId="35" r:id="rId36"/>
    <sheet name="EGSFOF" sheetId="36" r:id="rId37"/>
    <sheet name="ELLIQF" sheetId="37" r:id="rId38"/>
    <sheet name="EOASEF" sheetId="38" r:id="rId39"/>
    <sheet name="EOCHIF" sheetId="39" r:id="rId40"/>
    <sheet name="EODWHF" sheetId="40" r:id="rId41"/>
    <sheet name="EOEDOF" sheetId="41" r:id="rId42"/>
    <sheet name="EOEMOP" sheetId="42" r:id="rId43"/>
    <sheet name="EOUSEF" sheetId="43" r:id="rId44"/>
    <sheet name="EOUSTF" sheetId="44" r:id="rId45"/>
  </sheets>
  <definedNames>
    <definedName name="_xlnm._FilterDatabase" localSheetId="1" hidden="1">EDACBF!$A$5:$P$42</definedName>
    <definedName name="_xlnm._FilterDatabase" localSheetId="2" hidden="1">EDBE23!$A$5:$P$64</definedName>
    <definedName name="_xlnm._FilterDatabase" localSheetId="3" hidden="1">EDBE25!$A$5:$P$79</definedName>
    <definedName name="_xlnm._FilterDatabase" localSheetId="4" hidden="1">EDBE30!$A$5:$P$86</definedName>
    <definedName name="_xlnm._FilterDatabase" localSheetId="5" hidden="1">EDBE31!$A$5:$P$62</definedName>
    <definedName name="_xlnm._FilterDatabase" localSheetId="6" hidden="1">EDBE32!$A$5:$P$49</definedName>
    <definedName name="_xlnm._FilterDatabase" localSheetId="7" hidden="1">EDBPDF!$A$5:$P$55</definedName>
    <definedName name="_xlnm._FilterDatabase" localSheetId="8" hidden="1">EDCG27!$A$5:$P$38</definedName>
    <definedName name="_xlnm._FilterDatabase" localSheetId="9" hidden="1">EDCG37!$A$5:$P$34</definedName>
    <definedName name="_xlnm._FilterDatabase" localSheetId="10" hidden="1">EDCPSF!$A$5:$P$70</definedName>
    <definedName name="_xlnm._FilterDatabase" localSheetId="11" hidden="1">EDFF23!$A$5:$P$23</definedName>
    <definedName name="_xlnm._FilterDatabase" localSheetId="12" hidden="1">EDFF25!$A$5:$P$23</definedName>
    <definedName name="_xlnm._FilterDatabase" localSheetId="13" hidden="1">EDFF30!$A$5:$P$23</definedName>
    <definedName name="_xlnm._FilterDatabase" localSheetId="14" hidden="1">EDFF31!$A$5:$P$23</definedName>
    <definedName name="_xlnm._FilterDatabase" localSheetId="15" hidden="1">EDFF32!$A$5:$P$23</definedName>
    <definedName name="_xlnm._FilterDatabase" localSheetId="16" hidden="1">EDGSEC!$A$5:$P$39</definedName>
    <definedName name="_xlnm._FilterDatabase" localSheetId="17" hidden="1">EDNP27!$A$5:$P$79</definedName>
    <definedName name="_xlnm._FilterDatabase" localSheetId="18" hidden="1">EDNPSF!$A$5:$P$106</definedName>
    <definedName name="_xlnm._FilterDatabase" localSheetId="19" hidden="1">EDONTF!$A$5:$P$26</definedName>
    <definedName name="_xlnm._FilterDatabase" localSheetId="20" hidden="1">EEARBF!$A$5:$P$382</definedName>
    <definedName name="_xlnm._FilterDatabase" localSheetId="21" hidden="1">EEARFD!$A$5:$P$184</definedName>
    <definedName name="_xlnm._FilterDatabase" localSheetId="22" hidden="1">EEDGEF!$A$5:$P$109</definedName>
    <definedName name="_xlnm._FilterDatabase" localSheetId="23" hidden="1">EEECRF!$A$5:$P$76</definedName>
    <definedName name="_xlnm._FilterDatabase" localSheetId="24" hidden="1">EEELSS!$A$5:$P$75</definedName>
    <definedName name="_xlnm._FilterDatabase" localSheetId="25" hidden="1">EEEQTF!$A$5:$P$89</definedName>
    <definedName name="_xlnm._FilterDatabase" localSheetId="26" hidden="1">EEESCF!$A$5:$P$96</definedName>
    <definedName name="_xlnm._FilterDatabase" localSheetId="27" hidden="1">EEESSF!$A$5:$P$171</definedName>
    <definedName name="_xlnm._FilterDatabase" localSheetId="28" hidden="1">EEFOCF!$A$5:$P$51</definedName>
    <definedName name="_xlnm._FilterDatabase" localSheetId="29" hidden="1">EEIF30!$A$5:$P$51</definedName>
    <definedName name="_xlnm._FilterDatabase" localSheetId="30" hidden="1">EEIF50!$A$5:$P$72</definedName>
    <definedName name="_xlnm._FilterDatabase" localSheetId="31" hidden="1">EELMIF!$A$5:$P$271</definedName>
    <definedName name="_xlnm._FilterDatabase" localSheetId="32" hidden="1">EEMOF1!$A$5:$P$87</definedName>
    <definedName name="_xlnm._FilterDatabase" localSheetId="33" hidden="1">EENFBA!$A$5:$P$34</definedName>
    <definedName name="_xlnm._FilterDatabase" localSheetId="34" hidden="1">EEPRUA!$A$5:$P$128</definedName>
    <definedName name="_xlnm._FilterDatabase" localSheetId="35" hidden="1">EESMCF!$A$5:$P$82</definedName>
    <definedName name="_xlnm._FilterDatabase" localSheetId="36" hidden="1">EGSFOF!$A$5:$P$24</definedName>
    <definedName name="_xlnm._FilterDatabase" localSheetId="37" hidden="1">ELLIQF!$A$5:$P$56</definedName>
    <definedName name="_xlnm._FilterDatabase" localSheetId="38" hidden="1">EOASEF!$A$5:$P$21</definedName>
    <definedName name="_xlnm._FilterDatabase" localSheetId="39" hidden="1">EOCHIF!$A$5:$P$21</definedName>
    <definedName name="_xlnm._FilterDatabase" localSheetId="40" hidden="1">EODWHF!$A$7:$H$36</definedName>
    <definedName name="_xlnm._FilterDatabase" localSheetId="41" hidden="1">EOEDOF!$A$5:$P$21</definedName>
    <definedName name="_xlnm._FilterDatabase" localSheetId="42" hidden="1">EOEMOP!$A$5:$P$21</definedName>
    <definedName name="_xlnm._FilterDatabase" localSheetId="43" hidden="1">EOUSEF!$A$5:$P$21</definedName>
    <definedName name="_xlnm._FilterDatabase" localSheetId="44" hidden="1">EOUSTF!$A$5:$P$21</definedName>
    <definedName name="Hedging_Positions_through_Futures_AS_ON_MMMM_DD__YYYY___NIL" localSheetId="2">EDBE23!#REF!</definedName>
    <definedName name="Hedging_Positions_through_Futures_AS_ON_MMMM_DD__YYYY___NIL" localSheetId="3">EDBE25!#REF!</definedName>
    <definedName name="Hedging_Positions_through_Futures_AS_ON_MMMM_DD__YYYY___NIL" localSheetId="4">EDBE30!#REF!</definedName>
    <definedName name="Hedging_Positions_through_Futures_AS_ON_MMMM_DD__YYYY___NIL" localSheetId="5">EDBE31!#REF!</definedName>
    <definedName name="Hedging_Positions_through_Futures_AS_ON_MMMM_DD__YYYY___NIL" localSheetId="6">EDBE32!#REF!</definedName>
    <definedName name="Hedging_Positions_through_Futures_AS_ON_MMMM_DD__YYYY___NIL" localSheetId="7">EDBPDF!#REF!</definedName>
    <definedName name="Hedging_Positions_through_Futures_AS_ON_MMMM_DD__YYYY___NIL" localSheetId="8">EDCG27!#REF!</definedName>
    <definedName name="Hedging_Positions_through_Futures_AS_ON_MMMM_DD__YYYY___NIL" localSheetId="9">EDCG37!#REF!</definedName>
    <definedName name="Hedging_Positions_through_Futures_AS_ON_MMMM_DD__YYYY___NIL" localSheetId="10">EDCPSF!#REF!</definedName>
    <definedName name="Hedging_Positions_through_Futures_AS_ON_MMMM_DD__YYYY___NIL" localSheetId="11">EDFF23!#REF!</definedName>
    <definedName name="Hedging_Positions_through_Futures_AS_ON_MMMM_DD__YYYY___NIL" localSheetId="12">EDFF25!#REF!</definedName>
    <definedName name="Hedging_Positions_through_Futures_AS_ON_MMMM_DD__YYYY___NIL" localSheetId="13">EDFF30!#REF!</definedName>
    <definedName name="Hedging_Positions_through_Futures_AS_ON_MMMM_DD__YYYY___NIL" localSheetId="14">EDFF31!#REF!</definedName>
    <definedName name="Hedging_Positions_through_Futures_AS_ON_MMMM_DD__YYYY___NIL" localSheetId="15">EDFF32!#REF!</definedName>
    <definedName name="Hedging_Positions_through_Futures_AS_ON_MMMM_DD__YYYY___NIL" localSheetId="16">EDGSEC!#REF!</definedName>
    <definedName name="Hedging_Positions_through_Futures_AS_ON_MMMM_DD__YYYY___NIL" localSheetId="17">EDNP27!#REF!</definedName>
    <definedName name="Hedging_Positions_through_Futures_AS_ON_MMMM_DD__YYYY___NIL" localSheetId="18">EDNPSF!#REF!</definedName>
    <definedName name="Hedging_Positions_through_Futures_AS_ON_MMMM_DD__YYYY___NIL" localSheetId="19">EDONTF!#REF!</definedName>
    <definedName name="Hedging_Positions_through_Futures_AS_ON_MMMM_DD__YYYY___NIL" localSheetId="20">EEARBF!#REF!</definedName>
    <definedName name="Hedging_Positions_through_Futures_AS_ON_MMMM_DD__YYYY___NIL" localSheetId="21">EEARFD!#REF!</definedName>
    <definedName name="Hedging_Positions_through_Futures_AS_ON_MMMM_DD__YYYY___NIL" localSheetId="22">EEDGEF!#REF!</definedName>
    <definedName name="Hedging_Positions_through_Futures_AS_ON_MMMM_DD__YYYY___NIL" localSheetId="23">EEECRF!#REF!</definedName>
    <definedName name="Hedging_Positions_through_Futures_AS_ON_MMMM_DD__YYYY___NIL" localSheetId="24">EEELSS!#REF!</definedName>
    <definedName name="Hedging_Positions_through_Futures_AS_ON_MMMM_DD__YYYY___NIL" localSheetId="25">EEEQTF!#REF!</definedName>
    <definedName name="Hedging_Positions_through_Futures_AS_ON_MMMM_DD__YYYY___NIL" localSheetId="26">EEESCF!#REF!</definedName>
    <definedName name="Hedging_Positions_through_Futures_AS_ON_MMMM_DD__YYYY___NIL" localSheetId="27">EEESSF!#REF!</definedName>
    <definedName name="Hedging_Positions_through_Futures_AS_ON_MMMM_DD__YYYY___NIL" localSheetId="28">EEFOCF!#REF!</definedName>
    <definedName name="Hedging_Positions_through_Futures_AS_ON_MMMM_DD__YYYY___NIL" localSheetId="29">EEIF30!#REF!</definedName>
    <definedName name="Hedging_Positions_through_Futures_AS_ON_MMMM_DD__YYYY___NIL" localSheetId="30">EEIF50!#REF!</definedName>
    <definedName name="Hedging_Positions_through_Futures_AS_ON_MMMM_DD__YYYY___NIL" localSheetId="31">EELMIF!#REF!</definedName>
    <definedName name="Hedging_Positions_through_Futures_AS_ON_MMMM_DD__YYYY___NIL" localSheetId="32">EEMOF1!#REF!</definedName>
    <definedName name="Hedging_Positions_through_Futures_AS_ON_MMMM_DD__YYYY___NIL" localSheetId="33">EENFBA!#REF!</definedName>
    <definedName name="Hedging_Positions_through_Futures_AS_ON_MMMM_DD__YYYY___NIL" localSheetId="34">EEPRUA!#REF!</definedName>
    <definedName name="Hedging_Positions_through_Futures_AS_ON_MMMM_DD__YYYY___NIL" localSheetId="35">EESMCF!#REF!</definedName>
    <definedName name="Hedging_Positions_through_Futures_AS_ON_MMMM_DD__YYYY___NIL" localSheetId="36">EGSFOF!#REF!</definedName>
    <definedName name="Hedging_Positions_through_Futures_AS_ON_MMMM_DD__YYYY___NIL" localSheetId="37">ELLIQF!#REF!</definedName>
    <definedName name="Hedging_Positions_through_Futures_AS_ON_MMMM_DD__YYYY___NIL" localSheetId="38">EOASEF!#REF!</definedName>
    <definedName name="Hedging_Positions_through_Futures_AS_ON_MMMM_DD__YYYY___NIL" localSheetId="39">EOCHIF!#REF!</definedName>
    <definedName name="Hedging_Positions_through_Futures_AS_ON_MMMM_DD__YYYY___NIL" localSheetId="40">EODWHF!#REF!</definedName>
    <definedName name="Hedging_Positions_through_Futures_AS_ON_MMMM_DD__YYYY___NIL" localSheetId="41">EOEDOF!#REF!</definedName>
    <definedName name="Hedging_Positions_through_Futures_AS_ON_MMMM_DD__YYYY___NIL" localSheetId="42">EOEMOP!#REF!</definedName>
    <definedName name="Hedging_Positions_through_Futures_AS_ON_MMMM_DD__YYYY___NIL" localSheetId="43">EOUSEF!#REF!</definedName>
    <definedName name="Hedging_Positions_through_Futures_AS_ON_MMMM_DD__YYYY___NIL" localSheetId="44">EOUSTF!#REF!</definedName>
    <definedName name="Hedging_Positions_through_Futures_AS_ON_MMMM_DD__YYYY___NIL">EDACBF!#REF!</definedName>
    <definedName name="JPM_Footer_disp" localSheetId="2">EDBE23!#REF!</definedName>
    <definedName name="JPM_Footer_disp" localSheetId="3">EDBE25!#REF!</definedName>
    <definedName name="JPM_Footer_disp" localSheetId="4">EDBE30!#REF!</definedName>
    <definedName name="JPM_Footer_disp" localSheetId="5">EDBE31!#REF!</definedName>
    <definedName name="JPM_Footer_disp" localSheetId="6">EDBE32!#REF!</definedName>
    <definedName name="JPM_Footer_disp" localSheetId="7">EDBPDF!#REF!</definedName>
    <definedName name="JPM_Footer_disp" localSheetId="8">EDCG27!#REF!</definedName>
    <definedName name="JPM_Footer_disp" localSheetId="9">EDCG37!#REF!</definedName>
    <definedName name="JPM_Footer_disp" localSheetId="10">EDCPSF!#REF!</definedName>
    <definedName name="JPM_Footer_disp" localSheetId="11">EDFF23!#REF!</definedName>
    <definedName name="JPM_Footer_disp" localSheetId="12">EDFF25!#REF!</definedName>
    <definedName name="JPM_Footer_disp" localSheetId="13">EDFF30!#REF!</definedName>
    <definedName name="JPM_Footer_disp" localSheetId="14">EDFF31!#REF!</definedName>
    <definedName name="JPM_Footer_disp" localSheetId="15">EDFF32!#REF!</definedName>
    <definedName name="JPM_Footer_disp" localSheetId="16">EDGSEC!#REF!</definedName>
    <definedName name="JPM_Footer_disp" localSheetId="17">EDNP27!#REF!</definedName>
    <definedName name="JPM_Footer_disp" localSheetId="18">EDNPSF!#REF!</definedName>
    <definedName name="JPM_Footer_disp" localSheetId="19">EDONTF!#REF!</definedName>
    <definedName name="JPM_Footer_disp" localSheetId="20">EEARBF!#REF!</definedName>
    <definedName name="JPM_Footer_disp" localSheetId="21">EEARFD!#REF!</definedName>
    <definedName name="JPM_Footer_disp" localSheetId="22">EEDGEF!#REF!</definedName>
    <definedName name="JPM_Footer_disp" localSheetId="23">EEECRF!#REF!</definedName>
    <definedName name="JPM_Footer_disp" localSheetId="24">EEELSS!#REF!</definedName>
    <definedName name="JPM_Footer_disp" localSheetId="25">EEEQTF!#REF!</definedName>
    <definedName name="JPM_Footer_disp" localSheetId="26">EEESCF!#REF!</definedName>
    <definedName name="JPM_Footer_disp" localSheetId="27">EEESSF!#REF!</definedName>
    <definedName name="JPM_Footer_disp" localSheetId="28">EEFOCF!#REF!</definedName>
    <definedName name="JPM_Footer_disp" localSheetId="29">EEIF30!#REF!</definedName>
    <definedName name="JPM_Footer_disp" localSheetId="30">EEIF50!#REF!</definedName>
    <definedName name="JPM_Footer_disp" localSheetId="31">EELMIF!#REF!</definedName>
    <definedName name="JPM_Footer_disp" localSheetId="32">EEMOF1!#REF!</definedName>
    <definedName name="JPM_Footer_disp" localSheetId="33">EENFBA!#REF!</definedName>
    <definedName name="JPM_Footer_disp" localSheetId="34">EEPRUA!#REF!</definedName>
    <definedName name="JPM_Footer_disp" localSheetId="35">EESMCF!#REF!</definedName>
    <definedName name="JPM_Footer_disp" localSheetId="36">EGSFOF!#REF!</definedName>
    <definedName name="JPM_Footer_disp" localSheetId="37">ELLIQF!#REF!</definedName>
    <definedName name="JPM_Footer_disp" localSheetId="38">EOASEF!#REF!</definedName>
    <definedName name="JPM_Footer_disp" localSheetId="39">EOCHIF!#REF!</definedName>
    <definedName name="JPM_Footer_disp" localSheetId="40">EODWHF!#REF!</definedName>
    <definedName name="JPM_Footer_disp" localSheetId="41">EOEDOF!#REF!</definedName>
    <definedName name="JPM_Footer_disp" localSheetId="42">EOEMOP!#REF!</definedName>
    <definedName name="JPM_Footer_disp" localSheetId="43">EOUSEF!#REF!</definedName>
    <definedName name="JPM_Footer_disp" localSheetId="44">EOUSTF!#REF!</definedName>
    <definedName name="JPM_Footer_disp">EDACBF!#REF!</definedName>
    <definedName name="JPM_Footer_disp12" localSheetId="2">EDBE23!#REF!</definedName>
    <definedName name="JPM_Footer_disp12" localSheetId="3">EDBE25!#REF!</definedName>
    <definedName name="JPM_Footer_disp12" localSheetId="4">EDBE30!#REF!</definedName>
    <definedName name="JPM_Footer_disp12" localSheetId="5">EDBE31!#REF!</definedName>
    <definedName name="JPM_Footer_disp12" localSheetId="6">EDBE32!#REF!</definedName>
    <definedName name="JPM_Footer_disp12" localSheetId="7">EDBPDF!#REF!</definedName>
    <definedName name="JPM_Footer_disp12" localSheetId="8">EDCG27!#REF!</definedName>
    <definedName name="JPM_Footer_disp12" localSheetId="9">EDCG37!#REF!</definedName>
    <definedName name="JPM_Footer_disp12" localSheetId="10">EDCPSF!#REF!</definedName>
    <definedName name="JPM_Footer_disp12" localSheetId="11">EDFF23!#REF!</definedName>
    <definedName name="JPM_Footer_disp12" localSheetId="12">EDFF25!#REF!</definedName>
    <definedName name="JPM_Footer_disp12" localSheetId="13">EDFF30!#REF!</definedName>
    <definedName name="JPM_Footer_disp12" localSheetId="14">EDFF31!#REF!</definedName>
    <definedName name="JPM_Footer_disp12" localSheetId="15">EDFF32!#REF!</definedName>
    <definedName name="JPM_Footer_disp12" localSheetId="16">EDGSEC!#REF!</definedName>
    <definedName name="JPM_Footer_disp12" localSheetId="17">EDNP27!#REF!</definedName>
    <definedName name="JPM_Footer_disp12" localSheetId="18">EDNPSF!#REF!</definedName>
    <definedName name="JPM_Footer_disp12" localSheetId="19">EDONTF!#REF!</definedName>
    <definedName name="JPM_Footer_disp12" localSheetId="20">EEARBF!#REF!</definedName>
    <definedName name="JPM_Footer_disp12" localSheetId="21">EEARFD!#REF!</definedName>
    <definedName name="JPM_Footer_disp12" localSheetId="22">EEDGEF!#REF!</definedName>
    <definedName name="JPM_Footer_disp12" localSheetId="23">EEECRF!#REF!</definedName>
    <definedName name="JPM_Footer_disp12" localSheetId="24">EEELSS!#REF!</definedName>
    <definedName name="JPM_Footer_disp12" localSheetId="25">EEEQTF!#REF!</definedName>
    <definedName name="JPM_Footer_disp12" localSheetId="26">EEESCF!#REF!</definedName>
    <definedName name="JPM_Footer_disp12" localSheetId="27">EEESSF!#REF!</definedName>
    <definedName name="JPM_Footer_disp12" localSheetId="28">EEFOCF!#REF!</definedName>
    <definedName name="JPM_Footer_disp12" localSheetId="29">EEIF30!#REF!</definedName>
    <definedName name="JPM_Footer_disp12" localSheetId="30">EEIF50!#REF!</definedName>
    <definedName name="JPM_Footer_disp12" localSheetId="31">EELMIF!#REF!</definedName>
    <definedName name="JPM_Footer_disp12" localSheetId="32">EEMOF1!#REF!</definedName>
    <definedName name="JPM_Footer_disp12" localSheetId="33">EENFBA!#REF!</definedName>
    <definedName name="JPM_Footer_disp12" localSheetId="34">EEPRUA!#REF!</definedName>
    <definedName name="JPM_Footer_disp12" localSheetId="35">EESMCF!#REF!</definedName>
    <definedName name="JPM_Footer_disp12" localSheetId="36">EGSFOF!#REF!</definedName>
    <definedName name="JPM_Footer_disp12" localSheetId="37">ELLIQF!#REF!</definedName>
    <definedName name="JPM_Footer_disp12" localSheetId="38">EOASEF!#REF!</definedName>
    <definedName name="JPM_Footer_disp12" localSheetId="39">EOCHIF!#REF!</definedName>
    <definedName name="JPM_Footer_disp12" localSheetId="40">EODWHF!#REF!</definedName>
    <definedName name="JPM_Footer_disp12" localSheetId="41">EOEDOF!#REF!</definedName>
    <definedName name="JPM_Footer_disp12" localSheetId="42">EOEMOP!#REF!</definedName>
    <definedName name="JPM_Footer_disp12" localSheetId="43">EOUSEF!#REF!</definedName>
    <definedName name="JPM_Footer_disp12" localSheetId="44">EOUSTF!#REF!</definedName>
    <definedName name="JPM_Footer_disp12">EDACBF!#REF!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2" i="9" l="1"/>
  <c r="A66" i="8"/>
  <c r="B88" i="40"/>
  <c r="B81" i="5" l="1"/>
  <c r="B68" i="6"/>
  <c r="B105" i="4"/>
  <c r="B98" i="3"/>
  <c r="B83" i="2"/>
  <c r="F58" i="40"/>
  <c r="E58" i="40"/>
  <c r="B47" i="45" l="1"/>
  <c r="H1" i="44"/>
  <c r="B46" i="45"/>
  <c r="H1" i="43"/>
  <c r="B45" i="45"/>
  <c r="H1" i="42"/>
  <c r="B44" i="45"/>
  <c r="H1" i="41"/>
  <c r="B43" i="45"/>
  <c r="H1" i="40"/>
  <c r="B42" i="45"/>
  <c r="H1" i="39"/>
  <c r="B41" i="45"/>
  <c r="H1" i="38"/>
  <c r="B40" i="45"/>
  <c r="H1" i="37"/>
  <c r="B39" i="45"/>
  <c r="H1" i="36"/>
  <c r="B38" i="45"/>
  <c r="H1" i="35"/>
  <c r="B37" i="45"/>
  <c r="H1" i="34"/>
  <c r="B36" i="45"/>
  <c r="H1" i="33"/>
  <c r="B35" i="45"/>
  <c r="H1" i="32"/>
  <c r="B34" i="45"/>
  <c r="H1" i="31"/>
  <c r="B33" i="45"/>
  <c r="H1" i="30"/>
  <c r="B32" i="45"/>
  <c r="H1" i="29"/>
  <c r="B31" i="45"/>
  <c r="H1" i="28"/>
  <c r="B30" i="45"/>
  <c r="H1" i="27"/>
  <c r="B29" i="45"/>
  <c r="H1" i="26"/>
  <c r="B28" i="45"/>
  <c r="H1" i="25"/>
  <c r="B27" i="45"/>
  <c r="H1" i="24"/>
  <c r="B26" i="45"/>
  <c r="H1" i="23"/>
  <c r="B25" i="45"/>
  <c r="H1" i="22"/>
  <c r="B24" i="45"/>
  <c r="H1" i="21"/>
  <c r="B23" i="45"/>
  <c r="H1" i="20"/>
  <c r="B22" i="45"/>
  <c r="H1" i="19"/>
  <c r="B21" i="45"/>
  <c r="H1" i="18"/>
  <c r="B20" i="45"/>
  <c r="H1" i="17"/>
  <c r="B19" i="45"/>
  <c r="H1" i="16"/>
  <c r="B18" i="45"/>
  <c r="H1" i="15"/>
  <c r="B17" i="45"/>
  <c r="H1" i="14"/>
  <c r="B16" i="45"/>
  <c r="H1" i="13"/>
  <c r="B15" i="45"/>
  <c r="H1" i="12"/>
  <c r="B14" i="45"/>
  <c r="H1" i="11"/>
  <c r="B13" i="45"/>
  <c r="H1" i="10"/>
  <c r="B12" i="45"/>
  <c r="H1" i="9"/>
  <c r="B11" i="45"/>
  <c r="H1" i="8"/>
  <c r="B10" i="45"/>
  <c r="H1" i="7"/>
  <c r="B9" i="45"/>
  <c r="H1" i="6"/>
  <c r="B8" i="45"/>
  <c r="H1" i="5"/>
  <c r="B7" i="45"/>
  <c r="H1" i="4"/>
  <c r="B6" i="45"/>
  <c r="H1" i="3"/>
  <c r="B5" i="45"/>
  <c r="H1" i="2"/>
  <c r="B4" i="45"/>
  <c r="H1" i="1"/>
</calcChain>
</file>

<file path=xl/sharedStrings.xml><?xml version="1.0" encoding="utf-8"?>
<sst xmlns="http://schemas.openxmlformats.org/spreadsheetml/2006/main" count="8625" uniqueCount="2244">
  <si>
    <t>Name of the Instrument</t>
  </si>
  <si>
    <t>ISIN</t>
  </si>
  <si>
    <t>Quantity</t>
  </si>
  <si>
    <t>% to Net Assets</t>
  </si>
  <si>
    <t>Market/Fair Value(Rs. In Lacs)</t>
  </si>
  <si>
    <t>Rating/Industry</t>
  </si>
  <si>
    <t>YIELD</t>
  </si>
  <si>
    <t>PORTFOLIO STATEMENT OF EDELWEISS MONEY MARKET FUND AS ON OCTOBER 31, 2022</t>
  </si>
  <si>
    <t>(An open-ended debt scheme investing in money market instruments)</t>
  </si>
  <si>
    <t>PORTFOLIO STATEMENT OF BHARAT BOND ETF – APRIL 2023 AS ON OCTOBER 31, 2022</t>
  </si>
  <si>
    <t>(An open ended Target Maturity Exchange Traded Bond Fund predominately investing in constituents of 
Nifty BHARAT Bond Index - April 2023)</t>
  </si>
  <si>
    <t>PORTFOLIO STATEMENT OF BHARAT BOND ETF – APRIL 2025 AS ON OCTOBER 31, 2022</t>
  </si>
  <si>
    <t>(An open ended Target Maturity Exchange Traded Bond Fund predominantly investing in constituents of Nifty BHARAT Bond Index - April 2025)</t>
  </si>
  <si>
    <t>PORTFOLIO STATEMENT OF BHARAT BOND ETF – APRIL 2030 AS ON OCTOBER 31, 2022</t>
  </si>
  <si>
    <t>(An open ended Target Maturity Exchange Traded Bond Fund predominately investing in constituents of Nifty BHARAT Bond Index - April 2030)</t>
  </si>
  <si>
    <t>PORTFOLIO STATEMENT OF BHARAT BOND ETF – APRIL 2031 AS ON OCTOBER 31, 2022</t>
  </si>
  <si>
    <t>(An open ended Target Maturity Exchange Traded Bond Fund predominantly investing in constituents of Nifty BHARAT Bond Index - April 2031)</t>
  </si>
  <si>
    <t>PORTFOLIO STATEMENT OF BHARAT BOND ETF – APRIL 2032 AS ON OCTOBER 31, 2022</t>
  </si>
  <si>
    <t>(An open ended Target Maturity Exchange Traded Bond Fund predominantly investing in constituents of Nifty BHARAT Bond Index - April 2032)</t>
  </si>
  <si>
    <t>PORTFOLIO STATEMENT OF EDELWEISS  BANKING AND PSU DEBT FUND AS ON OCTOBER 31, 2022</t>
  </si>
  <si>
    <t>(An open ended debt scheme predominantly investing in Debt Instruments of Banks, Public Sector Undertakings,
Public Financial Institutions and Municipal Bonds.)</t>
  </si>
  <si>
    <t>PORTFOLIO STATEMENT OF EDELWEISS CRISIL IBX 50:50 GILT PLUS SDL JUNE 2027 INDEX FUND AS ON OCTOBER 31, 2022</t>
  </si>
  <si>
    <t>(An open-ended target maturity Index Fund investing in the constituents of CRISIL IBX 50:50 Gilt Plus SDL Index – June 2027. A relatively high interest)</t>
  </si>
  <si>
    <t>PORTFOLIO STATEMENT OF EDELWEISS CRISIL IBX 50:50 GILT PLUS SDL APRIL 2037 INDEX FUND AS ON OCTOBER 31, 2022</t>
  </si>
  <si>
    <t>(An open-ended target maturity Index Fund investing in the constituents of CRISIL IBX 50:50 Gilt Plus SDL Index – April 2037. A relatively high interes)</t>
  </si>
  <si>
    <t>PORTFOLIO STATEMENT OF EDELWEISS CRL PSU PL SDL 50:50 OCT-25 FD AS ON OCTOBER 31, 2022</t>
  </si>
  <si>
    <t>(An open-ended target maturity Index Fund investing in the constituents of CRISIL [IBX] 50:50 PSU + SDL Index – October 2025. A moderate interest rate risk and relatively low credit risk.)</t>
  </si>
  <si>
    <t>PORTFOLIO STATEMENT OF BHARAT BOND FOF – APRIL 2023 AS ON OCTOBER 31, 2022</t>
  </si>
  <si>
    <t>(An open-ended Target Maturity fund of funds scheme investing in units of BHARAT Bond ETF – April 2023)</t>
  </si>
  <si>
    <t>PORTFOLIO STATEMENT OF BHARAT BOND FOF – APRIL 2025 AS ON OCTOBER 31, 2022</t>
  </si>
  <si>
    <t>(An open-ended Target Maturity fund of funds scheme investing in units of BHARAT Bond ETF – April 2025)</t>
  </si>
  <si>
    <t>PORTFOLIO STATEMENT OF BHARAT BOND FOF – APRIL 2030 AS ON OCTOBER 31, 2022</t>
  </si>
  <si>
    <t>(An open-ended Target Maturity fund of funds scheme investing in units of BHARAT Bond ETF – April 2030)</t>
  </si>
  <si>
    <t>PORTFOLIO STATEMENT OF BHARAT BOND FOF – APRIL 2031 AS ON OCTOBER 31, 2022</t>
  </si>
  <si>
    <t>(An open-ended Target Maturity fund of funds scheme investing in units of BHARAT Bond ETF – April 2031)</t>
  </si>
  <si>
    <t>PORTFOLIO STATEMENT OF BHARAT BOND FOF – APRIL 2032 AS ON OCTOBER 31, 2022</t>
  </si>
  <si>
    <t>(An open-ended Target Maturity fund of funds scheme investing in units of BHARAT Bond ETF – April 2032)</t>
  </si>
  <si>
    <t>PORTFOLIO STATEMENT OF EDELWEISS  GOVERNMENT SECURITIES FUND AS ON OCTOBER 31, 2022</t>
  </si>
  <si>
    <t>(An open ended debt scheme investing in government securities across maturity)</t>
  </si>
  <si>
    <t>PORTFOLIO STATEMENT OF EDELWEISS NIFTY PSU BOND PLUS SDL APR 2027 50 50 INDEX AS ON OCTOBER 31, 2022</t>
  </si>
  <si>
    <t>(An open-ended target Maturuty index fund predominantly investing in the constituents of Nifty PSU Bond Plus SDL April 2027 50:50 Index)</t>
  </si>
  <si>
    <t>PORTFOLIO STATEMENT OF EDELWEISS NIFTY PSU BOND PLUS SDL APR 2026 50 50 INDEX FUND AS ON OCTOBER 31, 2022</t>
  </si>
  <si>
    <t>(An open-ended target Maturuty index fund predominantly investing in the constituents of Nifty PSU Bond Plus SDL April 2026 50:50 Index)</t>
  </si>
  <si>
    <t>PORTFOLIO STATEMENT OF EDELWEISS OVERNIGHT FUND AS ON OCTOBER 31, 2022</t>
  </si>
  <si>
    <t>(An open-ended debt scheme investing in overnight instruments.)</t>
  </si>
  <si>
    <t>PORTFOLIO STATEMENT OF EDELWEISS ARBITRAGE FUND AS ON OCTOBER 31, 2022</t>
  </si>
  <si>
    <t>(An open ended scheme investing in arbitrage opportunities)</t>
  </si>
  <si>
    <t>PORTFOLIO STATEMENT OF EDELWEISS BALANCED ADVANTAGE FUND AS ON OCTOBER 31, 2022</t>
  </si>
  <si>
    <t>(An open ended dynamic asset allocation fund)</t>
  </si>
  <si>
    <t>PORTFOLIO STATEMENT OF EDELWEISS LARGE CAP FUND AS ON OCTOBER 31, 2022</t>
  </si>
  <si>
    <t>(An open ended equity scheme predominantly investing in large cap stocks)</t>
  </si>
  <si>
    <t>PORTFOLIO STATEMENT OF EDELWEISS FLEXI-CAP FUND AS ON OCTOBER 31, 2022</t>
  </si>
  <si>
    <t>(An open ended dynamic equity scheme investing across large cap, mid cap, small cap stocks)</t>
  </si>
  <si>
    <t>PORTFOLIO STATEMENT OF EDELWEISS LONG TERM EQUITY FUND AS ON OCTOBER 31, 2022</t>
  </si>
  <si>
    <t>(An open ended equity linked saving scheme with a statutory lock in of 3 years and tax benefit)</t>
  </si>
  <si>
    <t>PORTFOLIO STATEMENT OF EDELWEISS LARGE &amp; MID CAP FUND AS ON OCTOBER 31, 2022</t>
  </si>
  <si>
    <t>(An open ended equity scheme investing in both large cap and mid cap stocks)</t>
  </si>
  <si>
    <t>PORTFOLIO STATEMENT OF EDELWEISS SMALL CAP FUND AS ON OCTOBER 31, 2022</t>
  </si>
  <si>
    <t>(An open ended scheme predominantly investing in small cap stocks)</t>
  </si>
  <si>
    <t>PORTFOLIO STATEMENT OF EDELWEISS EQUITY SAVINGS FUND AS ON OCTOBER 31, 2022</t>
  </si>
  <si>
    <t>(An Open ended scheme investing in equity, arbitrage and debt)</t>
  </si>
  <si>
    <t>PORTFOLIO STATEMENT OF EDELWEISS FOCUSED EQUITY FUND AS ON OCTOBER 31, 2022</t>
  </si>
  <si>
    <t>(An open-ended equity scheme investing in maximum 30 stocks across market capitalisation)</t>
  </si>
  <si>
    <t>PORTFOLIO STATEMENT OF EDELWEISS NIFTY 100 QUALITY 30 INDEX FND AS ON OCTOBER 31, 2022</t>
  </si>
  <si>
    <t>(An open ended scheme replicating Nifty 100 Quality 30 Index)</t>
  </si>
  <si>
    <t>PORTFOLIO STATEMENT OF EDELWEISS NIFTY 50 INDEX FUND AS ON OCTOBER 31, 2022</t>
  </si>
  <si>
    <t>(An open ended scheme replicating Nifty 50 Index)</t>
  </si>
  <si>
    <t>PORTFOLIO STATEMENT OF EDELWEISS NIFTY LARGE MID CAP 250 INDEX FUND AS ON OCTOBER 31, 2022</t>
  </si>
  <si>
    <t>(An Open-ended Equity Scheme replicating Nifty LargeMidcap 250 Index)</t>
  </si>
  <si>
    <t>PORTFOLIO STATEMENT OF EDELWEISS RECENTLY LISTED IPO FUND AS ON OCTOBER 31, 2022</t>
  </si>
  <si>
    <t>(An open ended equity scheme following investment theme of investing in recently listed 100 companies or upcoming Initial Public Offer (IPOs).)</t>
  </si>
  <si>
    <t>PORTFOLIO STATEMENT OF EDELWEISS ETF - NIFTY BANK AS ON OCTOBER 31, 2022</t>
  </si>
  <si>
    <t>(An open ended scheme tracking Nifty Bank Index)</t>
  </si>
  <si>
    <t>PORTFOLIO STATEMENT OF EDELWEISS AGGRESSIVE HYBRID FUND AS ON OCTOBER 31, 2022</t>
  </si>
  <si>
    <t>(An open ended hybrid scheme investing predominantly in equity and equity related instruments)</t>
  </si>
  <si>
    <t>PORTFOLIO STATEMENT OF EDELWEISS MID CAP FUND AS ON OCTOBER 31, 2022</t>
  </si>
  <si>
    <t>(An open ended equity scheme predominantly investing in mid cap stocks)</t>
  </si>
  <si>
    <t>PORTFOLIO STATEMENT OF EDELWEISS GOLD AND SILVER ETF FOF AS ON OCTOBER 31, 2022</t>
  </si>
  <si>
    <t>(An open-ended fund of funds scheme investing in units of Gold ETF and Silver ETF)</t>
  </si>
  <si>
    <t>PORTFOLIO STATEMENT OF EDELWEISS  LIQUID FUND AS ON OCTOBER 31, 2022</t>
  </si>
  <si>
    <t>(An open-ended liquid scheme)</t>
  </si>
  <si>
    <t>PORTFOLIO STATEMENT OF EDELWEISS  ASEAN EQUITY OFF-SHORE FUND AS ON OCTOBER 31, 2022</t>
  </si>
  <si>
    <t>(An open ended fund of fund scheme investing in JPMorgan Funds – ASEAN Equity Fund)</t>
  </si>
  <si>
    <t>PORTFOLIO STATEMENT OF EDELWEISS  GREATER CHINA EQUITY OFF-SHORE FUND AS ON OCTOBER 31, 2022</t>
  </si>
  <si>
    <t>(An open ended fund of fund scheme investing in JPMorgan Funds – Greater China Fund)</t>
  </si>
  <si>
    <t>PORTFOLIO STATEMENT OF EDELWEISS MSCI INDIA DOMESTIC &amp; WORLD HEALTHCARE 45 INDEX AS ON OCTOBER 31, 2022</t>
  </si>
  <si>
    <t>(An Open-ended Equity Scheme replicating MSCI India Domestic &amp; World Healthcare 45 Index)</t>
  </si>
  <si>
    <t>PORTFOLIO STATEMENT OF EDELWEISS  EUROPE DYNAMIC EQUITY OFF-SHORE FUND AS ON OCTOBER 31, 2022</t>
  </si>
  <si>
    <t>(An open ended fund of fund scheme investing in JPMorgan Funds – Europe Dynamic Fund)</t>
  </si>
  <si>
    <t>PORTFOLIO STATEMENT OF EDELWEISS  EMERGING MARKETS OPPORTUNITIES EQUITY OFF-SHORE FUND AS ON OCTOBER 31, 2022</t>
  </si>
  <si>
    <t>(An open ended fund of fund scheme investing in JPMorgan Funds – Emerging Market Opportunities Fund)</t>
  </si>
  <si>
    <t>PORTFOLIO STATEMENT OF EDELWEISS  US VALUE EQUITY OFF-SHORE FUND AS ON OCTOBER 31, 2022</t>
  </si>
  <si>
    <t>(An open ended fund of fund scheme investing in JPMorgan Funds – US Value Fund)</t>
  </si>
  <si>
    <t>PORTFOLIO STATEMENT OF EDELWEISS  US TECHNOLOGY EQUITY FOF AS ON OCTOBER 31, 2022</t>
  </si>
  <si>
    <t>(An open ended fund of fund scheme investing in JPMorgan Funds – US TECHNOLOGY EQUITY FOF)</t>
  </si>
  <si>
    <t>Equity &amp; Equity related</t>
  </si>
  <si>
    <t>NIL</t>
  </si>
  <si>
    <t>Money Market Instruments</t>
  </si>
  <si>
    <t>Treasury bills</t>
  </si>
  <si>
    <t>364 DAYS TBILL RED 20-07-2023</t>
  </si>
  <si>
    <t>IN002022Z168</t>
  </si>
  <si>
    <t>SOVEREIGN</t>
  </si>
  <si>
    <t>Sub Total</t>
  </si>
  <si>
    <t>Certificate of Deposit</t>
  </si>
  <si>
    <t>SIDBI CD RED 30-05-2023#**</t>
  </si>
  <si>
    <t>INE556F16960</t>
  </si>
  <si>
    <t>CRISIL A1+</t>
  </si>
  <si>
    <t>EXIM BANK CD RED 22-06-2023#**</t>
  </si>
  <si>
    <t>INE514E16CB6</t>
  </si>
  <si>
    <t>BANK OF BARODA CD RED 17-08-2023#**</t>
  </si>
  <si>
    <t>INE028A16CT7</t>
  </si>
  <si>
    <t>ICRA A1+</t>
  </si>
  <si>
    <t>CANARA BANK CD RED 18-08-2023#**</t>
  </si>
  <si>
    <t>INE476A16TV8</t>
  </si>
  <si>
    <t>KOTAK MAHINDRA BANK CD RED 17-08-2023#**</t>
  </si>
  <si>
    <t>INE237A169P8</t>
  </si>
  <si>
    <t>IDFC FIRST BANK LTD. CD RED 24-08-2023#**</t>
  </si>
  <si>
    <t>INE092T16SS1</t>
  </si>
  <si>
    <t>STATE BK OF INDIA CD 12-09-23#**</t>
  </si>
  <si>
    <t>INE062A16465</t>
  </si>
  <si>
    <t>AXIS BANK LTD CD RED 07-09-2023#**</t>
  </si>
  <si>
    <t>INE238AD6025</t>
  </si>
  <si>
    <t>HDFC BANK CD RED 12-09-2023#**</t>
  </si>
  <si>
    <t>INE040A16DK9</t>
  </si>
  <si>
    <t>CARE A1+</t>
  </si>
  <si>
    <t>Commercial Paper</t>
  </si>
  <si>
    <t>INE115A14DT5</t>
  </si>
  <si>
    <t>INE001A14ZE2</t>
  </si>
  <si>
    <t>INE110L14RD7</t>
  </si>
  <si>
    <t>TOTAL</t>
  </si>
  <si>
    <t>TREPS / Reverse Repo</t>
  </si>
  <si>
    <t>Clearing Corporation of India Ltd.</t>
  </si>
  <si>
    <t>Accrued Interest</t>
  </si>
  <si>
    <t>Net Receivables/(Payables)</t>
  </si>
  <si>
    <t>GRAND TOTAL</t>
  </si>
  <si>
    <t>#  Unlisted Security</t>
  </si>
  <si>
    <t>**Non Traded Security</t>
  </si>
  <si>
    <t>Debt Instruments</t>
  </si>
  <si>
    <t>(a)Listed / Awaiting listing on stock Exchanges</t>
  </si>
  <si>
    <t>6.59% IRFC NCD RED 14-04-2023**</t>
  </si>
  <si>
    <t>INE053F07BZ2</t>
  </si>
  <si>
    <t>CRISIL AAA</t>
  </si>
  <si>
    <t>6.44% INDIAN OIL CORP NCD RED 14-04-2023**</t>
  </si>
  <si>
    <t>INE242A08445</t>
  </si>
  <si>
    <t>7.04% PFC LTD NCD RED 14-04-2023**</t>
  </si>
  <si>
    <t>INE134E08KJ6</t>
  </si>
  <si>
    <t>6.79% HUDCO NCD RED 14-04-2023**</t>
  </si>
  <si>
    <t>INE031A08764</t>
  </si>
  <si>
    <t>ICRA AAA</t>
  </si>
  <si>
    <t>6.72% NABARD NCD RED 14-04-2023**</t>
  </si>
  <si>
    <t>INE261F08BW6</t>
  </si>
  <si>
    <t>7.12% REC LTD. NCD RED 31-03-2023**</t>
  </si>
  <si>
    <t>INE020B08CH4</t>
  </si>
  <si>
    <t>6.38% HPCL NCD RED 12-04-2023**</t>
  </si>
  <si>
    <t>INE094A08051</t>
  </si>
  <si>
    <t>8.82% REC LTD NCD RED 12-04-23**</t>
  </si>
  <si>
    <t>INE020B08831</t>
  </si>
  <si>
    <t>CARE AAA</t>
  </si>
  <si>
    <t>6.64% MANGALORE REF &amp; PET NCD 14-04-2023**</t>
  </si>
  <si>
    <t>INE103A08027</t>
  </si>
  <si>
    <t>8.8% POWER GRID CORP NCD RED 13-03-2023**</t>
  </si>
  <si>
    <t>INE752E07KN9</t>
  </si>
  <si>
    <t>8.5% NABARD NCD RED 31-01-2023</t>
  </si>
  <si>
    <t>INE261F08AT4</t>
  </si>
  <si>
    <t>6.35% POWER GRID CORP NCD RED 14-04-2023**</t>
  </si>
  <si>
    <t>INE752E08627</t>
  </si>
  <si>
    <t>8.8% NTPC LTD. NCD RED 04-04-2023**</t>
  </si>
  <si>
    <t>INE733E07JD2</t>
  </si>
  <si>
    <t>8.56% NPCL NCD RED 15-03-2023**</t>
  </si>
  <si>
    <t>INE206D08154</t>
  </si>
  <si>
    <t>6.27% SIDBI NCD RED 27-02-2023**</t>
  </si>
  <si>
    <t>INE556F08JP6</t>
  </si>
  <si>
    <t>8.54% NPCL NCD RED 15-03-2023**</t>
  </si>
  <si>
    <t>INE206D08147</t>
  </si>
  <si>
    <t>6.8% HPCL NCD RED 15-12-2022</t>
  </si>
  <si>
    <t>INE094A08044</t>
  </si>
  <si>
    <t>8.56% NPCL NCD RED 18-03-2023**</t>
  </si>
  <si>
    <t>INE206D08139</t>
  </si>
  <si>
    <t>8.80% EXIM BANK NCD RED 15-03-2023**</t>
  </si>
  <si>
    <t>INE514E08CI8</t>
  </si>
  <si>
    <t>8.93% EXIM BANK OF INDIA NCD RED 121222**</t>
  </si>
  <si>
    <t>INE514E08BY7</t>
  </si>
  <si>
    <t>8.83% INDIAN RLY FIN CORP NCD RED 250323**</t>
  </si>
  <si>
    <t>INE053F07603</t>
  </si>
  <si>
    <t>8.84% POWER FIN CORP NCD RED 04-03-2023**</t>
  </si>
  <si>
    <t>INE134E08FJ6</t>
  </si>
  <si>
    <t>8.73% NTPC LTD. NCD RED 07-03-2023**</t>
  </si>
  <si>
    <t>INE733E07JC4</t>
  </si>
  <si>
    <t>8.76% EXIM NCD RED 14-02-2023**</t>
  </si>
  <si>
    <t>INE514E08CE7</t>
  </si>
  <si>
    <t>8.9% POWER FIN CORP  NCD RED 18-03-2023**</t>
  </si>
  <si>
    <t>INE134E08FN8</t>
  </si>
  <si>
    <t>(b)Privately Placed/Unlisted</t>
  </si>
  <si>
    <t>(c)Securitised Debt Instruments</t>
  </si>
  <si>
    <t>SIDBI CD RED 23-03-2023#**</t>
  </si>
  <si>
    <t>INE556F16952</t>
  </si>
  <si>
    <t>INE261F16637</t>
  </si>
  <si>
    <t>SIDBI CD RED 03-03-2023#**</t>
  </si>
  <si>
    <t>INE556F16945</t>
  </si>
  <si>
    <t>EXIM BANK CD RED 17-03-2023#**</t>
  </si>
  <si>
    <t>INE514E16BY0</t>
  </si>
  <si>
    <t>5.4% INDIAN OIL CORP NCD 11-04-25**</t>
  </si>
  <si>
    <t>INE242A08478</t>
  </si>
  <si>
    <t>5.36% HPCL NCD RED 11-04-2025**</t>
  </si>
  <si>
    <t>INE094A08077</t>
  </si>
  <si>
    <t>5.59% SIDBI NCD RED 21-02-2025**</t>
  </si>
  <si>
    <t>INE556F08JU6</t>
  </si>
  <si>
    <t>5.90% REC LTD. NCD RED 31-03-2025**</t>
  </si>
  <si>
    <t>INE020B08CZ6</t>
  </si>
  <si>
    <t>5.47% NABARD NCD RED 11-04-2025**</t>
  </si>
  <si>
    <t>INE261F08CI3</t>
  </si>
  <si>
    <t>5.77% PFC LTD NCD RED 11-04-2025**</t>
  </si>
  <si>
    <t>INE134E08KX7</t>
  </si>
  <si>
    <t>5.23% NABARD NCD RED 31-01-2025**</t>
  </si>
  <si>
    <t>INE261F08DI1</t>
  </si>
  <si>
    <t>6.88% NHB LTD NCD RED 21-01-2025**</t>
  </si>
  <si>
    <t>INE557F08FH9</t>
  </si>
  <si>
    <t>5.35% HUDCO NCD RED 11-04-2025**</t>
  </si>
  <si>
    <t>INE031A08814</t>
  </si>
  <si>
    <t>6.35% EXIM BANK OF INDIA NCD 18-02-2025**</t>
  </si>
  <si>
    <t>INE514E08FT8</t>
  </si>
  <si>
    <t>5.25% ONGC NCD RED 11-04-2025**</t>
  </si>
  <si>
    <t>INE213A08016</t>
  </si>
  <si>
    <t>5.34% NLC INDIA LTD. NCD 11-04-25**</t>
  </si>
  <si>
    <t>INE589A08027</t>
  </si>
  <si>
    <t>7.42% POWER FIN CORP NCD RED 19-11-2024**</t>
  </si>
  <si>
    <t>INE134E08KH0</t>
  </si>
  <si>
    <t>6.99% IRFC NCD RED 19-03-2025**</t>
  </si>
  <si>
    <t>INE053F07CB1</t>
  </si>
  <si>
    <t>5.70% SIDBI NCD RED 28-03-2025**</t>
  </si>
  <si>
    <t>INE556F08JX0</t>
  </si>
  <si>
    <t>7.05% NAT HSG BANK NCD RED 18-12-2024**</t>
  </si>
  <si>
    <t>INE557F08FG1</t>
  </si>
  <si>
    <t>7.40% REC LTD. NCD RED 26-11-2024**</t>
  </si>
  <si>
    <t>INE020B08CF8</t>
  </si>
  <si>
    <t>6.88% REC LTD. NCD RED 20-03-2025**</t>
  </si>
  <si>
    <t>INE020B08CK8</t>
  </si>
  <si>
    <t>5.74% REC LTD. NCD RED 20-06-2024</t>
  </si>
  <si>
    <t>INE020B08DR1</t>
  </si>
  <si>
    <t>9.18% NUCLEAR POWER CORP NCD RD 23-01-25**</t>
  </si>
  <si>
    <t>INE206D08170</t>
  </si>
  <si>
    <t>8.65% POWER FINANCE NCD RED 28-12-2024**</t>
  </si>
  <si>
    <t>INE134E08GV9</t>
  </si>
  <si>
    <t>6.39% INDIAN OIL CORP NCD RED 06-03-2025**</t>
  </si>
  <si>
    <t>INE242A08452</t>
  </si>
  <si>
    <t>8.57% REC LTD NCD 21-12-2024**</t>
  </si>
  <si>
    <t>INE020B08880</t>
  </si>
  <si>
    <t>6.99% REC LTD. NCD RED 30-09-2024**</t>
  </si>
  <si>
    <t>INE020B08CM4</t>
  </si>
  <si>
    <t>7% HPCL NCD RED 14-08-2024**</t>
  </si>
  <si>
    <t>INE094A08036</t>
  </si>
  <si>
    <t>5.96% NABARD NCD SR 22F RED 06-02-2025**</t>
  </si>
  <si>
    <t>INE261F08DM3</t>
  </si>
  <si>
    <t>7.69% NABARD NCD RED 29-05-2024**</t>
  </si>
  <si>
    <t>INE261F08BK1</t>
  </si>
  <si>
    <t>6.85% POWER GRID CORP NCD RED 15-04-2025**</t>
  </si>
  <si>
    <t>INE752E08643</t>
  </si>
  <si>
    <t>9.34% REC LTD NCD RED 25-08-2024**</t>
  </si>
  <si>
    <t>INE020B07IZ5</t>
  </si>
  <si>
    <t>8.27% REC LTD NCD RED 06-02-2025**</t>
  </si>
  <si>
    <t>INE020B08906</t>
  </si>
  <si>
    <t>8.23% REC LTD NCD RED 23-01-2025**</t>
  </si>
  <si>
    <t>INE020B08898</t>
  </si>
  <si>
    <t>8.60% POWER FINANCE NCD 07-08-2024**</t>
  </si>
  <si>
    <t>INE134E08BP2</t>
  </si>
  <si>
    <t>5.63% NABARD NCD SR 22G RED 26-02-2025**</t>
  </si>
  <si>
    <t>INE261F08DN1</t>
  </si>
  <si>
    <t>8.20% POWER GRID CORP NCD RED 23-01-2025**</t>
  </si>
  <si>
    <t>INE752E07MG9</t>
  </si>
  <si>
    <t>8.48% POWER FIN CORP NCD RED 09-12-2024**</t>
  </si>
  <si>
    <t>INE134E08GU1</t>
  </si>
  <si>
    <t>8.30% REC LTD NCD RED 10-04-2025**</t>
  </si>
  <si>
    <t>INE020B08930</t>
  </si>
  <si>
    <t>5.84% IOC NCD RED 19-04-2024**</t>
  </si>
  <si>
    <t>INE242A08510</t>
  </si>
  <si>
    <t>5.27% NABARD NCD RED 29-04-2024**</t>
  </si>
  <si>
    <t>INE261F08DD2</t>
  </si>
  <si>
    <t>5.57% SIDBI NCD RED 03-03-2025**</t>
  </si>
  <si>
    <t>INE556F08JV4</t>
  </si>
  <si>
    <t>7.49% POWER GRID CORP NCD 25-10-2024**</t>
  </si>
  <si>
    <t>INE752E08593</t>
  </si>
  <si>
    <t>8.95% POWER FIN CORP NCD RED 30-03-2025**</t>
  </si>
  <si>
    <t>INE134E08CV8</t>
  </si>
  <si>
    <t>8.87% EXIM BANK NCD RED 13-03-2025**</t>
  </si>
  <si>
    <t>INE514E08CH0</t>
  </si>
  <si>
    <t>8.11% EXIM BANK NCD RED 03-02-2025**</t>
  </si>
  <si>
    <t>INE514E08EK0</t>
  </si>
  <si>
    <t>8.80% POWER FIN CORP NCD RED 15-01-2025**</t>
  </si>
  <si>
    <t>INE134E08CP0</t>
  </si>
  <si>
    <t>8.93% POWER GRID CORP NCD 19-10-2024**</t>
  </si>
  <si>
    <t>INE752E07LY4</t>
  </si>
  <si>
    <t>8.95% INDIAN RAILWAY FIN NCD 10-03-2025**</t>
  </si>
  <si>
    <t>INE053F09GV6</t>
  </si>
  <si>
    <t>9% NTPC LTD NCD RED 25-01-2025**</t>
  </si>
  <si>
    <t>INE733E07HA2</t>
  </si>
  <si>
    <t>9.17% NTPC LTD NCD RED 21-09-2024**</t>
  </si>
  <si>
    <t>INE733E07JO9</t>
  </si>
  <si>
    <t>8.15% POWER GRID CORP NCD RED 09-03-2025**</t>
  </si>
  <si>
    <t>INE752E07MJ3</t>
  </si>
  <si>
    <t>8.10% PFC LTD NCD RED 04-06-2024**</t>
  </si>
  <si>
    <t>INE134E08KD9</t>
  </si>
  <si>
    <t>7.03% HPCL NCD RED 12-04-2030**</t>
  </si>
  <si>
    <t>INE094A08069</t>
  </si>
  <si>
    <t>7.41% POWER FIN CORP NCD RED 25-02-2030**</t>
  </si>
  <si>
    <t>INE134E08KL2</t>
  </si>
  <si>
    <t>7.89% REC LTD. NCD RED 30-03-2030**</t>
  </si>
  <si>
    <t>INE020B08CI2</t>
  </si>
  <si>
    <t>7.34% NPCIL NCD RED 23-01-2030**</t>
  </si>
  <si>
    <t>INE206D08469</t>
  </si>
  <si>
    <t>7.55% IRFC NCD RED 12-04-2030**</t>
  </si>
  <si>
    <t>INE053F07BY5</t>
  </si>
  <si>
    <t>7.86% PFC LTD NCD RED 12-04-2030**</t>
  </si>
  <si>
    <t>INE134E08KK4</t>
  </si>
  <si>
    <t>7.54% NHAI NCD RED 25-01-2030**</t>
  </si>
  <si>
    <t>INE906B07HK9</t>
  </si>
  <si>
    <t>7.4% MANGALORE REF &amp; PET NCD 12-04-2030**</t>
  </si>
  <si>
    <t>INE103A08019</t>
  </si>
  <si>
    <t>7.70% NHAI NCD RED 13-09-2029**</t>
  </si>
  <si>
    <t>INE906B07HH5</t>
  </si>
  <si>
    <t>7.41% IOC NCD RED 22-10-2029**</t>
  </si>
  <si>
    <t>INE242A08437</t>
  </si>
  <si>
    <t>FITCH AAA</t>
  </si>
  <si>
    <t>7.50% REC LTD. NCD RED 28-02-2030**</t>
  </si>
  <si>
    <t>INE020B08CP7</t>
  </si>
  <si>
    <t>7.32% NTPC LTD NCD RED 17-07-2029**</t>
  </si>
  <si>
    <t>INE733E07KL3</t>
  </si>
  <si>
    <t>7.49% NHAI NCD RED 01-08-2029**</t>
  </si>
  <si>
    <t>INE906B07HG7</t>
  </si>
  <si>
    <t>7.75% MANGALORE REF &amp; PET NCD 29-01-2030**</t>
  </si>
  <si>
    <t>INE103A08035</t>
  </si>
  <si>
    <t>7.38% POWER GRID CORP NCD RED 12-04-2030**</t>
  </si>
  <si>
    <t>INE752E08635</t>
  </si>
  <si>
    <t>7.08% IRFC NCD RED 28-02-2030**</t>
  </si>
  <si>
    <t>INE053F07CA3</t>
  </si>
  <si>
    <t>7.55% IRFC NCD RED 06-11-29**</t>
  </si>
  <si>
    <t>INE053F07BX7</t>
  </si>
  <si>
    <t>7.48% IRFC NCD RED 13-08-2029**</t>
  </si>
  <si>
    <t>INE053F07BU3</t>
  </si>
  <si>
    <t>7.64% FOOD CORP GOI GRNT NCD 12-12-2029**</t>
  </si>
  <si>
    <t>INE861G08050</t>
  </si>
  <si>
    <t>CRISIL AAA(CE)</t>
  </si>
  <si>
    <t>8.12% NHPC NCD GOI SERVICED 22-03-2029**</t>
  </si>
  <si>
    <t>INE848E08136</t>
  </si>
  <si>
    <t>7.43% NABARD GOI SERV NCD RED 31-01-2030**</t>
  </si>
  <si>
    <t>INE261F08BX4</t>
  </si>
  <si>
    <t>8.85% REC LTD. NCD RED 16-04-2029**</t>
  </si>
  <si>
    <t>INE020B08BQ7</t>
  </si>
  <si>
    <t>8.3% REC LTD NCD RED 25-06-2029**</t>
  </si>
  <si>
    <t>INE020B08BU9</t>
  </si>
  <si>
    <t>8.36% NHAI NCD RED 20-05-2029**</t>
  </si>
  <si>
    <t>INE906B07HD4</t>
  </si>
  <si>
    <t>8.25% REC GOI SERVICED NCD RED 26-03-30**</t>
  </si>
  <si>
    <t>INE020B08CR3</t>
  </si>
  <si>
    <t>7.5% IRFC NCD RED 07-09-2029**</t>
  </si>
  <si>
    <t>INE053F07BW9</t>
  </si>
  <si>
    <t>8.09% NLC INDIA LTD NCD RED 29-05-2029**</t>
  </si>
  <si>
    <t>INE589A07037</t>
  </si>
  <si>
    <t>7.49% POWER GRID CORP NCD 25-10-2029**</t>
  </si>
  <si>
    <t>INE752E08601</t>
  </si>
  <si>
    <t>7.92% REC LTD. NCD RED 30-03-2030**</t>
  </si>
  <si>
    <t>INE020B08CJ0</t>
  </si>
  <si>
    <t>8.85% POWER FIN CORP NCD RED 25-05-2029**</t>
  </si>
  <si>
    <t>INE134E08KC1</t>
  </si>
  <si>
    <t>7.5% NHPC NCD RED 06-10-2029**</t>
  </si>
  <si>
    <t>INE848E07AS5</t>
  </si>
  <si>
    <t>7.27% NABARD NCD RED 14-02-2030**</t>
  </si>
  <si>
    <t>INE261F08BZ9</t>
  </si>
  <si>
    <t>8.80% RECL NCD RED 14-05-2029**</t>
  </si>
  <si>
    <t>INE020B08BS3</t>
  </si>
  <si>
    <t>7.25% NPCIL NCD RED 15-12-2029 XXXIII C**</t>
  </si>
  <si>
    <t>INE206D08436</t>
  </si>
  <si>
    <t>8.3% NTPC LTD NCD RED 15-01-2029**</t>
  </si>
  <si>
    <t>INE733E07KJ7</t>
  </si>
  <si>
    <t>8.23% IRFC NCD RED 29-03-2029**</t>
  </si>
  <si>
    <t>INE053F07BE7</t>
  </si>
  <si>
    <t>7.13% NHPC LTD NCD 11-02-2030**</t>
  </si>
  <si>
    <t>INE848E07BC7</t>
  </si>
  <si>
    <t>7.10% NABARD GOI SERV NCD RED 08-02-2030**</t>
  </si>
  <si>
    <t>INE261F08BY2</t>
  </si>
  <si>
    <t>7.93% PFC LTD NCD RED 31-12-2029**</t>
  </si>
  <si>
    <t>INE134E08KI8</t>
  </si>
  <si>
    <t>7.38% NHPC LTD NCD 03-01-2030**</t>
  </si>
  <si>
    <t>INE848E07AX5</t>
  </si>
  <si>
    <t>8.15% POWER GRID CORP NCD RED 09-03-2030**</t>
  </si>
  <si>
    <t>INE752E07MK1</t>
  </si>
  <si>
    <t>8.50% NABARD NCD GOI SERVICED 27-02-2029**</t>
  </si>
  <si>
    <t>INE261F08BC8</t>
  </si>
  <si>
    <t>8.13% NUCLEAR POWER CORP NCD 28-03-2030**</t>
  </si>
  <si>
    <t>INE206D08394</t>
  </si>
  <si>
    <t>9.3% POWER GRID CORP NCD RED 04-09-2029**</t>
  </si>
  <si>
    <t>INE752E07LR8</t>
  </si>
  <si>
    <t>7.95% IRFC NCD RED 12-06-2029**</t>
  </si>
  <si>
    <t>INE053F07BR9</t>
  </si>
  <si>
    <t>8.24% POWER GRID NCD GOI SERV 14-02-2029**</t>
  </si>
  <si>
    <t>INE752E08551</t>
  </si>
  <si>
    <t>8.15% EXIM NCB 21-01-2030 R21 - 2030**</t>
  </si>
  <si>
    <t>INE514E08EJ2</t>
  </si>
  <si>
    <t>7.34% POWER GRID CORP NCD 13-07-2029**</t>
  </si>
  <si>
    <t>INE752E08577</t>
  </si>
  <si>
    <t>7.36% NLC INDIA LTD. NCD RED 25-01-2030**</t>
  </si>
  <si>
    <t>INE589A07045</t>
  </si>
  <si>
    <t>8.4% POWER GRID NCD RED 26-05-2029**</t>
  </si>
  <si>
    <t>INE752E07MV8</t>
  </si>
  <si>
    <t>Government Securities</t>
  </si>
  <si>
    <t>7.10% GOVT OF INDIA RED 18-04-2029</t>
  </si>
  <si>
    <t>IN0020220011</t>
  </si>
  <si>
    <t>6.45% GOVT OF INDIA RED 07-10-2029</t>
  </si>
  <si>
    <t>IN0020190362</t>
  </si>
  <si>
    <t>6.79% GOVT OF INDIA RED 26-12-2029</t>
  </si>
  <si>
    <t>IN0020160118</t>
  </si>
  <si>
    <t>7.88% GOVT OF INDIA RED 19-03-2030</t>
  </si>
  <si>
    <t>IN0020150028</t>
  </si>
  <si>
    <t>6.41% IRFC NCD RED 11-04-2031**</t>
  </si>
  <si>
    <t>INE053F07CR7</t>
  </si>
  <si>
    <t>6.90% REC LTD. NCD RED 31-03-2031**</t>
  </si>
  <si>
    <t>INE020B08DA7</t>
  </si>
  <si>
    <t>6.45% NABARD NCD RED 11-04-2031**</t>
  </si>
  <si>
    <t>INE261F08CJ1</t>
  </si>
  <si>
    <t>6.50% NHAI NCD RED 11-04-2031**</t>
  </si>
  <si>
    <t>INE906B07IE0</t>
  </si>
  <si>
    <t>6.80% NPCL NCD RED 21-03-2031**</t>
  </si>
  <si>
    <t>INE206D08477</t>
  </si>
  <si>
    <t>6.88% PFC LTD NCD RED 11-04-2031**</t>
  </si>
  <si>
    <t>INE134E08KY5</t>
  </si>
  <si>
    <t>6.4% ONGC NCD RED 11-04-2031**</t>
  </si>
  <si>
    <t>INE213A08024</t>
  </si>
  <si>
    <t>6.29% NTPC LTD NCD RED 11-04-2031**</t>
  </si>
  <si>
    <t>INE733E08155</t>
  </si>
  <si>
    <t>6.63% HPCL NCD RED 11-04-2031**</t>
  </si>
  <si>
    <t>INE094A08093</t>
  </si>
  <si>
    <t>6.65% FOOD CORP GOI GRNT NCD 23-10-2030**</t>
  </si>
  <si>
    <t>INE861G08076</t>
  </si>
  <si>
    <t>ICRA AAA(CE)</t>
  </si>
  <si>
    <t>6.28% POWER GRID CORP NCD 11-04-31**</t>
  </si>
  <si>
    <t>INE752E08650</t>
  </si>
  <si>
    <t>7.55% REC LTD. NCD RED 10-05-2030**</t>
  </si>
  <si>
    <t>INE020B08CU7</t>
  </si>
  <si>
    <t>7.05% PFC LTD NCD RED 09-08-2030**</t>
  </si>
  <si>
    <t>INE134E08KZ2</t>
  </si>
  <si>
    <t>7.04% PFC LTD NCD RED 16-12-2030**</t>
  </si>
  <si>
    <t>INE134E08LC9</t>
  </si>
  <si>
    <t>6.90% REC LTD. NCD RED 31-01-2031**</t>
  </si>
  <si>
    <t>INE020B08DG4</t>
  </si>
  <si>
    <t>8.85% POWER FINANCE NCD 15-06-2030**</t>
  </si>
  <si>
    <t>INE134E08DB8</t>
  </si>
  <si>
    <t>7.75% PFC LTD NCD RED 11-06-2030**</t>
  </si>
  <si>
    <t>INE134E08KV1</t>
  </si>
  <si>
    <t>7.79% REC LTD. NCD RED 21-05-2030**</t>
  </si>
  <si>
    <t>INE020B08CW3</t>
  </si>
  <si>
    <t>8.32% POWER GRID CORP NCD RED 23-12-2030**</t>
  </si>
  <si>
    <t>INE752E07NL7</t>
  </si>
  <si>
    <t>6.43% NTPC LTD NCD RED 27-01-2031**</t>
  </si>
  <si>
    <t>INE733E08171</t>
  </si>
  <si>
    <t>8.13% NUCLEAR POWER CORP NCD 28-03-2031**</t>
  </si>
  <si>
    <t>INE206D08402</t>
  </si>
  <si>
    <t>8.13% PGCIL NCD 25-04-2030 LIII K**</t>
  </si>
  <si>
    <t>INE752E07NW4</t>
  </si>
  <si>
    <t>6.80% REC LTD NCD RED 20-12-2030**</t>
  </si>
  <si>
    <t>INE020B08DE9</t>
  </si>
  <si>
    <t>7.40% POWER FIN CORP NCD RED 08-05-2030**</t>
  </si>
  <si>
    <t>INE134E08KQ1</t>
  </si>
  <si>
    <t>7.25% NPCIL NCD RED 15-12-2030 XXXIII D**</t>
  </si>
  <si>
    <t>INE206D08444</t>
  </si>
  <si>
    <t>7% POWER FIN CORP NCD RED 22-01-2031**</t>
  </si>
  <si>
    <t>INE134E07AN1</t>
  </si>
  <si>
    <t>8.4% POWER GRID CORP NCD RED 27-05-2030**</t>
  </si>
  <si>
    <t>INE752E07MW6</t>
  </si>
  <si>
    <t>6.75% HUDCO NCD RED 29-05-2030**</t>
  </si>
  <si>
    <t>INE031A08806</t>
  </si>
  <si>
    <t>7.61% GOVT OF INDIA RED 09-05-2030</t>
  </si>
  <si>
    <t>IN0020160019</t>
  </si>
  <si>
    <t>7.48% MANGALORE REF&amp;PET 14-04-2032**</t>
  </si>
  <si>
    <t>INE103A08050</t>
  </si>
  <si>
    <t>6.74% NTPC LTD RED 14-04-2032**</t>
  </si>
  <si>
    <t>INE733E08205</t>
  </si>
  <si>
    <t>6.87% NHAI NCD RED 14-04-2032**</t>
  </si>
  <si>
    <t>INE906B07JA6</t>
  </si>
  <si>
    <t>6.92% POWER FINANCE NCD 14-04-32**</t>
  </si>
  <si>
    <t>INE134E08LN6</t>
  </si>
  <si>
    <t>6.92% REC LTD NCD RED 20-03-2032**</t>
  </si>
  <si>
    <t>INE020B08DV3</t>
  </si>
  <si>
    <t>6.87% IRFC NCD RED 14-04-2032**</t>
  </si>
  <si>
    <t>INE053F08163</t>
  </si>
  <si>
    <t>7.79% IOC NCD RED 12-04-2032**</t>
  </si>
  <si>
    <t>INE242A08528</t>
  </si>
  <si>
    <t>6.85% NABARD NCD RED 14-04-2032**</t>
  </si>
  <si>
    <t>INE261F08DL5</t>
  </si>
  <si>
    <t>7.81% HPCL NCD RED 13-04-2032**</t>
  </si>
  <si>
    <t>INE094A08119</t>
  </si>
  <si>
    <t>6.85% NLC INDIA RED 13-04-2032**</t>
  </si>
  <si>
    <t>INE589A08043</t>
  </si>
  <si>
    <t>6.92% IRFC NCD SR 161 RED 29-08-2031**</t>
  </si>
  <si>
    <t>INE053F08122</t>
  </si>
  <si>
    <t>6.89% IRFC NCD RED 18-07-2031**</t>
  </si>
  <si>
    <t>INE053F08106</t>
  </si>
  <si>
    <t>7.38% NABARD NCD RED 20-10-2031**</t>
  </si>
  <si>
    <t>INE261F08683</t>
  </si>
  <si>
    <t>6.69% NTPC LTD NCD RED 12-09-2031**</t>
  </si>
  <si>
    <t>INE733E08197</t>
  </si>
  <si>
    <t>7.30% NABARD NCD RED 26-12-2031**</t>
  </si>
  <si>
    <t>INE261F08717</t>
  </si>
  <si>
    <t>8.24% NHPC LTD SER U NCD RED 27-06-2031**</t>
  </si>
  <si>
    <t>INE848E07914</t>
  </si>
  <si>
    <t>6.54% GOVT OF INDIA RED 17-01-2032</t>
  </si>
  <si>
    <t>IN0020210244</t>
  </si>
  <si>
    <t>8.37% HUDCO NCD RED 23-03-2029**</t>
  </si>
  <si>
    <t>INE031A08707</t>
  </si>
  <si>
    <t>8.83% EXIM BK OF INDIA NCD RED 03-11-29**</t>
  </si>
  <si>
    <t>INE514E08EE3</t>
  </si>
  <si>
    <t>8.13% NUCLEAR POWER CORP NCD 28-03-2029**</t>
  </si>
  <si>
    <t>INE206D08386</t>
  </si>
  <si>
    <t>8.27% NHAI NCD RED 28-03-2029**</t>
  </si>
  <si>
    <t>INE906B07GP0</t>
  </si>
  <si>
    <t>8.95% FOOD CORP OF INDIA NCD 01-03-2029**</t>
  </si>
  <si>
    <t>INE861G08043</t>
  </si>
  <si>
    <t>8.40% NUCLEAR POW COR IN LTD NCD28-11-29**</t>
  </si>
  <si>
    <t>INE206D08253</t>
  </si>
  <si>
    <t>8.24% NABARD NCD GOI SERVICED 22-03-2029**</t>
  </si>
  <si>
    <t>INE261F08BF1</t>
  </si>
  <si>
    <t>8.79% INDIAN RAIL FIN NCD RED 04-05-2030**</t>
  </si>
  <si>
    <t>INE053F09GX2</t>
  </si>
  <si>
    <t>8.7% LIC HOUS FIN NCD RED 23-03-2029**</t>
  </si>
  <si>
    <t>INE115A07OB4</t>
  </si>
  <si>
    <t>(a) Listed / Awaiting listing on Stock Exchanges</t>
  </si>
  <si>
    <t>7.38% GOVT OF INDIA RED 20-06-2027</t>
  </si>
  <si>
    <t>IN0020220037</t>
  </si>
  <si>
    <t>State Development Loan</t>
  </si>
  <si>
    <t>7.16% TAMILNADU SDL RED 11-01-2027</t>
  </si>
  <si>
    <t>IN3120160178</t>
  </si>
  <si>
    <t>7.67% UTTAR PRADESH SDL 12-04-2027</t>
  </si>
  <si>
    <t>IN3320170019</t>
  </si>
  <si>
    <t>7.89% TELANGANA SDL RED 27-10-2036</t>
  </si>
  <si>
    <t>IN4520220224</t>
  </si>
  <si>
    <t>7.83% TELANGANA SDL RED 04-10-2036</t>
  </si>
  <si>
    <t>IN4520220216</t>
  </si>
  <si>
    <t>7.20% EXIM NCD RED 05-06-2025**</t>
  </si>
  <si>
    <t>INE514E08FY8</t>
  </si>
  <si>
    <t>8.11% REC LTD NCD 07-10-2025 SR136**</t>
  </si>
  <si>
    <t>INE020B08963</t>
  </si>
  <si>
    <t>7.25% SIDBI NCD RED 31-07-2025**</t>
  </si>
  <si>
    <t>INE556F08KA6</t>
  </si>
  <si>
    <t>5.7% NABARD NCD RED SR 22D 31-07-2025**</t>
  </si>
  <si>
    <t>INE261F08DK7</t>
  </si>
  <si>
    <t>7.34% NHB LTD NCD RED 07-08-2025**</t>
  </si>
  <si>
    <t>INE557F08FN7</t>
  </si>
  <si>
    <t>7.50% NHPC LTD SR Y STR A NCD 07-10-2025**</t>
  </si>
  <si>
    <t>INE848E07AO4</t>
  </si>
  <si>
    <t>7.20% NABARD NCD RED 23-09-2025</t>
  </si>
  <si>
    <t>INE261F08DR2</t>
  </si>
  <si>
    <t>6.50% POWER FIN CORP NCD RED 17-09-2025**</t>
  </si>
  <si>
    <t>INE134E08LD7</t>
  </si>
  <si>
    <t>7.12% HPCL NCD RED 30-07-2025**</t>
  </si>
  <si>
    <t>INE094A08127</t>
  </si>
  <si>
    <t>7.17% POWER FIN COR NCD SR 202B 22-05-25**</t>
  </si>
  <si>
    <t>INE134E08KT5</t>
  </si>
  <si>
    <t>7.15% SIDBI NCD RED 02-06-2025**</t>
  </si>
  <si>
    <t>INE556F08JY8</t>
  </si>
  <si>
    <t>8.75% REC LTD NCD RED 12-07-2025**</t>
  </si>
  <si>
    <t>INE020B08443</t>
  </si>
  <si>
    <t>8.4% POWER GRID CORP NCD RED 27-05-2025**</t>
  </si>
  <si>
    <t>INE752E07MR6</t>
  </si>
  <si>
    <t>7.30% NMDC LTD SR I NCD RED 28-08-2025**</t>
  </si>
  <si>
    <t>INE584A08010</t>
  </si>
  <si>
    <t>5.22% GOVT OF INDIA RED 15-06-2025</t>
  </si>
  <si>
    <t>IN0020200112</t>
  </si>
  <si>
    <t>8.20% GUJARAT SDL RED 24-06-2025</t>
  </si>
  <si>
    <t>IN1520150021</t>
  </si>
  <si>
    <t>8.31% ANDHRA PRADESH SDL RED 29-07-2025</t>
  </si>
  <si>
    <t>IN1020150042</t>
  </si>
  <si>
    <t>8.31% UTTAR PRADESH SDL 29-07-2025</t>
  </si>
  <si>
    <t>IN3320150250</t>
  </si>
  <si>
    <t>8.27% KERALA SDL RED 12-08-2025</t>
  </si>
  <si>
    <t>IN2020150073</t>
  </si>
  <si>
    <t>8.30% JHARKHAND SDL RED 29-07-2025</t>
  </si>
  <si>
    <t>IN3720150017</t>
  </si>
  <si>
    <t>8.21% WEST BENGAL SDL RED 24-06-2025</t>
  </si>
  <si>
    <t>IN3420150036</t>
  </si>
  <si>
    <t>7.99% MAHARASHTRA SDL RED 28-10-2025</t>
  </si>
  <si>
    <t>IN2220150113</t>
  </si>
  <si>
    <t>7.97% TAMIL NADU SDL RED 14-10-2025</t>
  </si>
  <si>
    <t>IN3120150112</t>
  </si>
  <si>
    <t>7.89% GUJARAT SDL RED 15-05-2025</t>
  </si>
  <si>
    <t>IN1520190043</t>
  </si>
  <si>
    <t>8.24% KERALA SDL RED 13-05-2025</t>
  </si>
  <si>
    <t>IN2020150032</t>
  </si>
  <si>
    <t>8.22% TAMIL NADU SDL RED 13-05-2025</t>
  </si>
  <si>
    <t>IN3120150039</t>
  </si>
  <si>
    <t>8.20% RAJASTHAN SDL RED 24-06-2025</t>
  </si>
  <si>
    <t>IN2920150157</t>
  </si>
  <si>
    <t>7.96% MAHARASHTRA SDL RED 14-10-2025</t>
  </si>
  <si>
    <t>IN2220150105</t>
  </si>
  <si>
    <t>8.36% MADHYA PRADESH SDL RED 15-07-2025</t>
  </si>
  <si>
    <t>IN2120150023</t>
  </si>
  <si>
    <t>8.25% MAHARASHTRA SDL RED 10-06-2025</t>
  </si>
  <si>
    <t>IN2220150030</t>
  </si>
  <si>
    <t>8.16% MAHARASHTRA SDL RED 23-09-2025</t>
  </si>
  <si>
    <t>IN2220150097</t>
  </si>
  <si>
    <t>5.95% TAMIL NADU SDL RED 13-05-2025</t>
  </si>
  <si>
    <t>IN3120200057</t>
  </si>
  <si>
    <t>8.29% KERALA SDL RED 29-07-2025</t>
  </si>
  <si>
    <t>IN2020150065</t>
  </si>
  <si>
    <t>8.28% MAHARASHTRA SDL RED 29-07-2025</t>
  </si>
  <si>
    <t>IN2220150055</t>
  </si>
  <si>
    <t>8% TAMIL NADU SDL RED 28-10-2025</t>
  </si>
  <si>
    <t>IN3120150120</t>
  </si>
  <si>
    <t>Investment in Mutual fund</t>
  </si>
  <si>
    <t>BHARAT BOND ETF-APRIL 2023-GROWTH</t>
  </si>
  <si>
    <t>INF754K01KN4</t>
  </si>
  <si>
    <t>BHARAT BOND ETF-APRIL 2025-GROWTH</t>
  </si>
  <si>
    <t>INF754K01LD3</t>
  </si>
  <si>
    <t>BHARAT BOND ETF-APRIL 2030-GROWTH</t>
  </si>
  <si>
    <t>INF754K01KO2</t>
  </si>
  <si>
    <t>BHARAT BOND ETF-APRIL 2031-GROWTH</t>
  </si>
  <si>
    <t>INF754K01LE1</t>
  </si>
  <si>
    <t>BHARAT BOND ETF–APRIL 2032-GROWTH</t>
  </si>
  <si>
    <t>INF754K01OB1</t>
  </si>
  <si>
    <t>7.26% GOVT OF INDIA RED 22-08-2032</t>
  </si>
  <si>
    <t>IN0020220060</t>
  </si>
  <si>
    <t>6.95% GOVT OF INDIA RED 16-12-2061</t>
  </si>
  <si>
    <t>IN0020210202</t>
  </si>
  <si>
    <t>8.38% GUJARAT SDL RED 27-02-2029</t>
  </si>
  <si>
    <t>IN1520180309</t>
  </si>
  <si>
    <t>7.32% EXIM NCD RED 08-06-2026**</t>
  </si>
  <si>
    <t>INE514E08FZ5</t>
  </si>
  <si>
    <t>7.18% POWER FIN GOI SERVICD NCD 20-01-27**</t>
  </si>
  <si>
    <t>INE134E08IR3</t>
  </si>
  <si>
    <t>7.75% POWER FIN COR GOI SER NCD 22-03-27**</t>
  </si>
  <si>
    <t>INE134E08IX1</t>
  </si>
  <si>
    <t>6.14% IND OIL COR NCD 18-02-27**</t>
  </si>
  <si>
    <t>INE242A08502</t>
  </si>
  <si>
    <t>7.83% IRFC LTD NCD RED 19-03-2027**</t>
  </si>
  <si>
    <t>INE053F07983</t>
  </si>
  <si>
    <t>7.89% POWER GRID CORP NCD RED 09-03-2027**</t>
  </si>
  <si>
    <t>INE752E07OE0</t>
  </si>
  <si>
    <t>7.95% RECL SR 147 NCD RED 12-03-2027**</t>
  </si>
  <si>
    <t>INE020B08AH8</t>
  </si>
  <si>
    <t>7.54% REC LTD NCD RED 30-12-2026</t>
  </si>
  <si>
    <t>INE020B08AC9</t>
  </si>
  <si>
    <t>7.25% EXIM BANK NCD RED 01-02-2027**</t>
  </si>
  <si>
    <t>INE514E08FJ9</t>
  </si>
  <si>
    <t>7.13% NHPC STRPP B NCD 11-02-2027**</t>
  </si>
  <si>
    <t>INE848E07AZ0</t>
  </si>
  <si>
    <t>8.14% NUCLEAR POWER CORP NCD 25-03-2027**</t>
  </si>
  <si>
    <t>INE206D08279</t>
  </si>
  <si>
    <t>8.85% POWER GRID CORP NCD KRED 19-10-26**</t>
  </si>
  <si>
    <t>INE752E07KL3</t>
  </si>
  <si>
    <t>7.52% REC LTD NCD RED 07-11-26</t>
  </si>
  <si>
    <t>INE020B08AA3</t>
  </si>
  <si>
    <t>7.5% NHPC NCD RED 07-10-2026**</t>
  </si>
  <si>
    <t>INE848E07AP1</t>
  </si>
  <si>
    <t>9.25% POWER GRID CORP NCD  RED 09-03-27**</t>
  </si>
  <si>
    <t>INE752E07JN1</t>
  </si>
  <si>
    <t>7.23% POWER FIN COR NCD RED- 05-01-2027**</t>
  </si>
  <si>
    <t>INE134E08IO0</t>
  </si>
  <si>
    <t>6.09% HPCL NCD RED 26-02-2027**</t>
  </si>
  <si>
    <t>INE094A08101</t>
  </si>
  <si>
    <t>5.74% GOVT OF INDIA RED 15-11-2026</t>
  </si>
  <si>
    <t>IN0020210186</t>
  </si>
  <si>
    <t>6.58% GUJARAT SDL RED 31-03-2027</t>
  </si>
  <si>
    <t>IN1520200347</t>
  </si>
  <si>
    <t>7.78% BIHAR SDL RED 01-03-2027</t>
  </si>
  <si>
    <t>IN1320160170</t>
  </si>
  <si>
    <t>7.20% UTTAR PRADESH SDL 25-01-2027</t>
  </si>
  <si>
    <t>IN3320160309</t>
  </si>
  <si>
    <t>7.80% KERALA SDL RED 15-03-2027</t>
  </si>
  <si>
    <t>IN2020160155</t>
  </si>
  <si>
    <t>7.75% KARNATAKA SDL RED 01-03-2027</t>
  </si>
  <si>
    <t>IN1920160109</t>
  </si>
  <si>
    <t>7.59% GUJARAT SDL RED 15-02-2027</t>
  </si>
  <si>
    <t>IN1520160194</t>
  </si>
  <si>
    <t>8.31% RAJASTHAN SDL RED 08-04-2027</t>
  </si>
  <si>
    <t>IN2920200036</t>
  </si>
  <si>
    <t>7.92% WEST BENGAL SDL 15-03-2027</t>
  </si>
  <si>
    <t>IN3420160175</t>
  </si>
  <si>
    <t>7.61% TAMIL NADU SDL RED 15-02-2027</t>
  </si>
  <si>
    <t>IN3120160194</t>
  </si>
  <si>
    <t>7.59% RAJASTHAN SDL RED 15-02-2027</t>
  </si>
  <si>
    <t>IN2920160412</t>
  </si>
  <si>
    <t>7.74% TAMIL NADU SDL RED 01-03-2027</t>
  </si>
  <si>
    <t>IN3120161309</t>
  </si>
  <si>
    <t>7.78% WEST BENGAL SDL 01-03-2027</t>
  </si>
  <si>
    <t>IN3420160167</t>
  </si>
  <si>
    <t>7.64% HARYANA SDL RED 29-03-2027</t>
  </si>
  <si>
    <t>IN1620160292</t>
  </si>
  <si>
    <t>7.61% ANDHRA PRADESH SDL RED 15-02-2027</t>
  </si>
  <si>
    <t>IN1020160439</t>
  </si>
  <si>
    <t>7.59% HARYANA SDL RED 15-02-2027</t>
  </si>
  <si>
    <t>IN1620160268</t>
  </si>
  <si>
    <t>7.59% BIHAR SDL RED 15-02-2027</t>
  </si>
  <si>
    <t>IN1320160162</t>
  </si>
  <si>
    <t>6.72% KERALA SDL RED 24-03-2027</t>
  </si>
  <si>
    <t>IN2020200290</t>
  </si>
  <si>
    <t>7.86% KARNATAKA SDL RED 15-03-2027</t>
  </si>
  <si>
    <t>IN1920160117</t>
  </si>
  <si>
    <t>7.85% TAMIL NADU SDL RED 15-03-2027</t>
  </si>
  <si>
    <t>IN3120161317</t>
  </si>
  <si>
    <t>7.15% KERALA SDL RED 11-01-2027</t>
  </si>
  <si>
    <t>IN2020160130</t>
  </si>
  <si>
    <t>7.17% UTTAR PRADESH SDL 11-01-2027</t>
  </si>
  <si>
    <t>IN3320160291</t>
  </si>
  <si>
    <t>7.59% Karnataka SDL RED 29-03-2027</t>
  </si>
  <si>
    <t>IN1920160125</t>
  </si>
  <si>
    <t>7.21% WEST BENGAL SDL 25-01-2027</t>
  </si>
  <si>
    <t>IN3420160142</t>
  </si>
  <si>
    <t>7.59% KARNATAKA SDL 15-02-2027</t>
  </si>
  <si>
    <t>IN1920160091</t>
  </si>
  <si>
    <t>7.14% ANDHRA PRADESH SDL RED 11-01-2027</t>
  </si>
  <si>
    <t>IN1020160421</t>
  </si>
  <si>
    <t>7.64% WEST BENGAL SDL RED 29-03-2027</t>
  </si>
  <si>
    <t>IN3420160183</t>
  </si>
  <si>
    <t>7.40% NABARD NCD RED 30-01-2026**</t>
  </si>
  <si>
    <t>INE261F08DO9</t>
  </si>
  <si>
    <t>7.10% EXIM NCD RED 18-03-2026</t>
  </si>
  <si>
    <t>INE514E08GA6</t>
  </si>
  <si>
    <t>7.11% SIDBI NCD RED 27-02-2026**</t>
  </si>
  <si>
    <t>INE556F08KB4</t>
  </si>
  <si>
    <t>5.94% REC LTD. NCD RED 31-01-2026**</t>
  </si>
  <si>
    <t>INE020B08DK6</t>
  </si>
  <si>
    <t>9.18% NUCLEAR POWER NCD RED 23-01-2026**</t>
  </si>
  <si>
    <t>INE206D08188</t>
  </si>
  <si>
    <t>5.85% REC LTD NCD RED 20-12-2025**</t>
  </si>
  <si>
    <t>INE020B08DF6</t>
  </si>
  <si>
    <t>6.18% MANGALORE REF &amp; PET NCD 29-12-2025</t>
  </si>
  <si>
    <t>INE103A08043</t>
  </si>
  <si>
    <t>5.81% REC LTD. NCD RED 31-12-2025**</t>
  </si>
  <si>
    <t>INE020B08DH2</t>
  </si>
  <si>
    <t>7.13% NHPC LTD AA STRPP A NCD 11-02-2026**</t>
  </si>
  <si>
    <t>INE848E07AY3</t>
  </si>
  <si>
    <t>8.18% EXIM BANK NCD RED 07-12-2025**</t>
  </si>
  <si>
    <t>INE514E08EU9</t>
  </si>
  <si>
    <t>9.09% INDIAN RAIL FIN NCD RED 29-03-2026**</t>
  </si>
  <si>
    <t>INE053F09HM3</t>
  </si>
  <si>
    <t>8.02% EXIM BANK NCD RED 20-04-2026**</t>
  </si>
  <si>
    <t>INE514E08FB6</t>
  </si>
  <si>
    <t>8.32% POWER GRID CORP NCD RED 23/12/2025**</t>
  </si>
  <si>
    <t>INE752E07NK9</t>
  </si>
  <si>
    <t>6.89% NHPC SR AA1 STRPP A NCD 11-03-2026**</t>
  </si>
  <si>
    <t>INE848E07BD5</t>
  </si>
  <si>
    <t>7.38% NHPC SR Y1 STRPP A NCD 03-01-2026**</t>
  </si>
  <si>
    <t>INE848E07AT3</t>
  </si>
  <si>
    <t>8.14% NUCLEAR POWER NCD RED 25-03-2026**</t>
  </si>
  <si>
    <t>INE206D08261</t>
  </si>
  <si>
    <t>9.09% IRFC NCD RED 31-03-2026**</t>
  </si>
  <si>
    <t>INE053F09HN1</t>
  </si>
  <si>
    <t>7.23% SIDBI NCD RED 09-03-2026**</t>
  </si>
  <si>
    <t>INE556F08KC2</t>
  </si>
  <si>
    <t>8.19% NTPC LTD NCD RED 15-12-2025**</t>
  </si>
  <si>
    <t>INE733E07JX0</t>
  </si>
  <si>
    <t>6.05% NLC INDIA LTD NCD RED 12-02-2026**</t>
  </si>
  <si>
    <t>INE589A08035</t>
  </si>
  <si>
    <t>8.85% NHPC LTD NCD 11-02-2026**</t>
  </si>
  <si>
    <t>INE848E07377</t>
  </si>
  <si>
    <t>8.78% NHPC LTD NCD 11-02-2026**</t>
  </si>
  <si>
    <t>INE848E07468</t>
  </si>
  <si>
    <t>9.25% POWER GRID CORP NCD RED 26-12-2025**</t>
  </si>
  <si>
    <t>INE752E07JL5</t>
  </si>
  <si>
    <t>5.60% INDIAN OIL CORP NCD 23-01-2026**</t>
  </si>
  <si>
    <t>INE242A08494</t>
  </si>
  <si>
    <t>5.63% GOVT OF INDIA RED 12-04-2026</t>
  </si>
  <si>
    <t>IN0020210012</t>
  </si>
  <si>
    <t>6.18% GUJARAT SDL RED 31-03-2026</t>
  </si>
  <si>
    <t>IN1520200339</t>
  </si>
  <si>
    <t>8.38% KARNATAKA SDL RED 27-01-2026</t>
  </si>
  <si>
    <t>IN1920150084</t>
  </si>
  <si>
    <t>8.54% BIHAR SDL RED 10-02-2026</t>
  </si>
  <si>
    <t>IN1320150031</t>
  </si>
  <si>
    <t>8.51% MAHARASHTRA SDL RED 09-03-2026</t>
  </si>
  <si>
    <t>IN2220150204</t>
  </si>
  <si>
    <t>8.67% KARNATAKA SDL RED 24-02-2026</t>
  </si>
  <si>
    <t>IN1920150092</t>
  </si>
  <si>
    <t>8.3% RAJASTHAN SDL RED 13-01-2026</t>
  </si>
  <si>
    <t>IN2920150223</t>
  </si>
  <si>
    <t>8.53% TAMIL NADU SDL RED 09-03-2026</t>
  </si>
  <si>
    <t>IN3120150211</t>
  </si>
  <si>
    <t>8.76% MADHYA PRADESH SDL RED 24-02-2026</t>
  </si>
  <si>
    <t>IN2120150106</t>
  </si>
  <si>
    <t>8.38% TAMILNADU SDL RED 27-01-2026</t>
  </si>
  <si>
    <t>IN3120150187</t>
  </si>
  <si>
    <t>8.57% ANDHRA PRADESH SDL RED 09-03-2026</t>
  </si>
  <si>
    <t>IN1020150141</t>
  </si>
  <si>
    <t>8.28% KARNATAKA SDL RED 06-03-2026</t>
  </si>
  <si>
    <t>IN1920180198</t>
  </si>
  <si>
    <t>8.48% RAJASTHAN SDL RED 10-02-2026</t>
  </si>
  <si>
    <t>IN2920150249</t>
  </si>
  <si>
    <t>8.39% MADHYA PRADESH SDL RED 27-01-2026</t>
  </si>
  <si>
    <t>IN2120150098</t>
  </si>
  <si>
    <t>8.88% WEST BENGAL SDL RED 24-02-2026</t>
  </si>
  <si>
    <t>IN3420150150</t>
  </si>
  <si>
    <t>8.60% BIHAR SDL RED 09-03-2026</t>
  </si>
  <si>
    <t>IN1320150056</t>
  </si>
  <si>
    <t>8.39% UTTAR PRADESH SDL 27-01-2026</t>
  </si>
  <si>
    <t>IN3320150367</t>
  </si>
  <si>
    <t>8.49% TAMIL NADU SDL RED 10-02-2026</t>
  </si>
  <si>
    <t>IN3120150195</t>
  </si>
  <si>
    <t>8.40% WEST BENGAL SDL RED 27-01-2026</t>
  </si>
  <si>
    <t>IN3420150135</t>
  </si>
  <si>
    <t>8.67% MAHARASHTRA SDL RED 24-02-2026</t>
  </si>
  <si>
    <t>IN2220150196</t>
  </si>
  <si>
    <t>8.29% ANDHRA PRADESH SDL RED 13-01-2026</t>
  </si>
  <si>
    <t>IN1020150117</t>
  </si>
  <si>
    <t>8.30% MADHYA PRADESH SDL RED 13-01-2026</t>
  </si>
  <si>
    <t>IN2120150080</t>
  </si>
  <si>
    <t>8.00% GUJARAT SDL RED 20-04-2026</t>
  </si>
  <si>
    <t>IN1520160012</t>
  </si>
  <si>
    <t>8.57% WEST BENGAL SDL RED 09-03-2026</t>
  </si>
  <si>
    <t>IN3420150168</t>
  </si>
  <si>
    <t>8.34% UTTAR PRADESH SDL 13-01-2026</t>
  </si>
  <si>
    <t>IN3320150359</t>
  </si>
  <si>
    <t>8.83% UTTAR PRADESH SDL 24-02-2026</t>
  </si>
  <si>
    <t>IN3320150383</t>
  </si>
  <si>
    <t>8.53% UTTAR PRADESH SDL 10-02-2026</t>
  </si>
  <si>
    <t>IN3320150375</t>
  </si>
  <si>
    <t>8.51% WEST BENGAL SDL RED 10-02-2026</t>
  </si>
  <si>
    <t>IN3420150143</t>
  </si>
  <si>
    <t>8.72% ANDHRA PRADESH SDL RED 24-02-2026</t>
  </si>
  <si>
    <t>IN1020150133</t>
  </si>
  <si>
    <t>8.82% BIHAR SDL RED 24-02-2026</t>
  </si>
  <si>
    <t>IN1320150049</t>
  </si>
  <si>
    <t>8.36% MAHARASHTRA SDL RED 27-01-2026</t>
  </si>
  <si>
    <t>IN2220150170</t>
  </si>
  <si>
    <t>8.55% RAJASTHAN SDL RED 09-03-2026</t>
  </si>
  <si>
    <t>IN2920150264</t>
  </si>
  <si>
    <t>8.31% WEST BENGAL SDL RED 13-01-2026</t>
  </si>
  <si>
    <t>IN3420150127</t>
  </si>
  <si>
    <t>8.69% TAMIL NADU SDL RED 24-02-2026</t>
  </si>
  <si>
    <t>IN3120150203</t>
  </si>
  <si>
    <t>8.47% MAHARASHTRA SDL RED 10-02-2026</t>
  </si>
  <si>
    <t>IN2220150188</t>
  </si>
  <si>
    <t>8.38% RAJASTHAN SDL RED 27-01-2026</t>
  </si>
  <si>
    <t>IN2920150231</t>
  </si>
  <si>
    <t>7.90% RAJASTHAN SDL RED 08-04-2026</t>
  </si>
  <si>
    <t>IN2920200028</t>
  </si>
  <si>
    <t>8.39% ANDHRA PRADESH SDL RED 27-01-2026</t>
  </si>
  <si>
    <t>IN1020150125</t>
  </si>
  <si>
    <t>8.27% TAMIL NADU SDL RED 13-01-2026</t>
  </si>
  <si>
    <t>IN3120150179</t>
  </si>
  <si>
    <t>8.25% MAHARASHTRA SDL RED 13-01-2026</t>
  </si>
  <si>
    <t>IN2220150162</t>
  </si>
  <si>
    <t>8.27% KARNATAKA SDL RED 13-01-2026</t>
  </si>
  <si>
    <t>IN1920150076</t>
  </si>
  <si>
    <t>8.46% GUJARAT SDL RED 10-02-2026</t>
  </si>
  <si>
    <t>IN1520150120</t>
  </si>
  <si>
    <t>8.09% ANDHRA PRADESH SDL RED 23-03-2026</t>
  </si>
  <si>
    <t>IN1020150158</t>
  </si>
  <si>
    <t>8.09% RAJASTHAN SDL RED 23-03-2026</t>
  </si>
  <si>
    <t>IN2920150363</t>
  </si>
  <si>
    <t>7.96% TAMIL NADU SDL RED 27-04-2026</t>
  </si>
  <si>
    <t>IN3120160020</t>
  </si>
  <si>
    <t>7.96% GUJARAT SDL RED 27-04-2026</t>
  </si>
  <si>
    <t>IN1520160020</t>
  </si>
  <si>
    <t>6.70% ANDHRA PRADESH SDL RED 22-04-2026</t>
  </si>
  <si>
    <t>IN1020200078</t>
  </si>
  <si>
    <t>91 DAYS TBILL RED 03-11-2022</t>
  </si>
  <si>
    <t>IN002022X189</t>
  </si>
  <si>
    <t>182 DAYS TBILL RED 24-11-2022</t>
  </si>
  <si>
    <t>IN002022Y088</t>
  </si>
  <si>
    <t>(a)Listed / Awaiting listing on Stock Exchanges</t>
  </si>
  <si>
    <t>Adani Ports &amp; Special Economic Zone Ltd.</t>
  </si>
  <si>
    <t>INE742F01042</t>
  </si>
  <si>
    <t>Transport Infrastructure</t>
  </si>
  <si>
    <t>Kotak Mahindra Bank Ltd.</t>
  </si>
  <si>
    <t>INE237A01028</t>
  </si>
  <si>
    <t>Banks</t>
  </si>
  <si>
    <t>Reliance Industries Ltd.</t>
  </si>
  <si>
    <t>INE002A01018</t>
  </si>
  <si>
    <t>Petroleum Products</t>
  </si>
  <si>
    <t>Ashok Leyland Ltd.</t>
  </si>
  <si>
    <t>INE208A01029</t>
  </si>
  <si>
    <t>Agricultural, Commercial &amp; Construction Vehicles</t>
  </si>
  <si>
    <t>Adani Enterprises Ltd.</t>
  </si>
  <si>
    <t>INE423A01024</t>
  </si>
  <si>
    <t>Metals &amp; Minerals Trading</t>
  </si>
  <si>
    <t>Hindalco Industries Ltd.</t>
  </si>
  <si>
    <t>INE038A01020</t>
  </si>
  <si>
    <t>Non - Ferrous Metals</t>
  </si>
  <si>
    <t>Hindustan Aeronautics Ltd.</t>
  </si>
  <si>
    <t>INE066F01012</t>
  </si>
  <si>
    <t>Aerospace &amp; Defense</t>
  </si>
  <si>
    <t>Punjab National Bank</t>
  </si>
  <si>
    <t>INE160A01022</t>
  </si>
  <si>
    <t>Zee Entertainment Enterprises Ltd.</t>
  </si>
  <si>
    <t>INE256A01028</t>
  </si>
  <si>
    <t>Entertainment</t>
  </si>
  <si>
    <t>Housing Development Finance Corporation Ltd.</t>
  </si>
  <si>
    <t>INE001A01036</t>
  </si>
  <si>
    <t>Finance</t>
  </si>
  <si>
    <t>UPL Ltd.</t>
  </si>
  <si>
    <t>INE628A01036</t>
  </si>
  <si>
    <t>Fertilizers &amp; Agrochemicals</t>
  </si>
  <si>
    <t>ICICI Bank Ltd.</t>
  </si>
  <si>
    <t>INE090A01021</t>
  </si>
  <si>
    <t>United Spirits Ltd.</t>
  </si>
  <si>
    <t>INE854D01024</t>
  </si>
  <si>
    <t>Beverages</t>
  </si>
  <si>
    <t>HDFC Bank Ltd.</t>
  </si>
  <si>
    <t>INE040A01034</t>
  </si>
  <si>
    <t>Maruti Suzuki India Ltd.</t>
  </si>
  <si>
    <t>INE585B01010</t>
  </si>
  <si>
    <t>Automobiles</t>
  </si>
  <si>
    <t>Tata Power Company Ltd.</t>
  </si>
  <si>
    <t>INE245A01021</t>
  </si>
  <si>
    <t>Power</t>
  </si>
  <si>
    <t>Bank of Baroda</t>
  </si>
  <si>
    <t>INE028A01039</t>
  </si>
  <si>
    <t>IDFC Ltd.</t>
  </si>
  <si>
    <t>INE043D01016</t>
  </si>
  <si>
    <t>Ambuja Cements Ltd.</t>
  </si>
  <si>
    <t>INE079A01024</t>
  </si>
  <si>
    <t>Cement &amp; Cement Products</t>
  </si>
  <si>
    <t>HCL Technologies Ltd.</t>
  </si>
  <si>
    <t>INE860A01027</t>
  </si>
  <si>
    <t>IT - Software</t>
  </si>
  <si>
    <t>MindTree Ltd.</t>
  </si>
  <si>
    <t>INE018I01017</t>
  </si>
  <si>
    <t>IndusInd Bank Ltd.</t>
  </si>
  <si>
    <t>INE095A01012</t>
  </si>
  <si>
    <t>Axis Bank Ltd.</t>
  </si>
  <si>
    <t>INE238A01034</t>
  </si>
  <si>
    <t>Tata Consultancy Services Ltd.</t>
  </si>
  <si>
    <t>INE467B01029</t>
  </si>
  <si>
    <t>InterGlobe Aviation Ltd.</t>
  </si>
  <si>
    <t>INE646L01027</t>
  </si>
  <si>
    <t>Transport Services</t>
  </si>
  <si>
    <t>Bharat Electronics Ltd.</t>
  </si>
  <si>
    <t>INE263A01024</t>
  </si>
  <si>
    <t>Tech Mahindra Ltd.</t>
  </si>
  <si>
    <t>INE669C01036</t>
  </si>
  <si>
    <t>RBL Bank Ltd.</t>
  </si>
  <si>
    <t>INE976G01028</t>
  </si>
  <si>
    <t>Tata Chemicals Ltd.</t>
  </si>
  <si>
    <t>INE092A01019</t>
  </si>
  <si>
    <t>Chemicals &amp; Petrochemicals</t>
  </si>
  <si>
    <t>Bharat Heavy Electricals Ltd.</t>
  </si>
  <si>
    <t>INE257A01026</t>
  </si>
  <si>
    <t>Electrical Equipment</t>
  </si>
  <si>
    <t>Multi Commodity Exchange Of India Ltd.</t>
  </si>
  <si>
    <t>INE745G01035</t>
  </si>
  <si>
    <t>Capital Markets</t>
  </si>
  <si>
    <t>Cummins India Ltd.</t>
  </si>
  <si>
    <t>INE298A01020</t>
  </si>
  <si>
    <t>Industrial Products</t>
  </si>
  <si>
    <t>Zydus Lifesciences Ltd.</t>
  </si>
  <si>
    <t>INE010B01027</t>
  </si>
  <si>
    <t>Pharmaceuticals &amp; Biotechnology</t>
  </si>
  <si>
    <t>Sun TV Network Ltd.</t>
  </si>
  <si>
    <t>INE424H01027</t>
  </si>
  <si>
    <t>Piramal Enterprises Ltd.</t>
  </si>
  <si>
    <t>INE140A01024</t>
  </si>
  <si>
    <t>ITC Ltd.</t>
  </si>
  <si>
    <t>INE154A01025</t>
  </si>
  <si>
    <t>Diversified FMCG</t>
  </si>
  <si>
    <t>Bosch Ltd.</t>
  </si>
  <si>
    <t>INE323A01026</t>
  </si>
  <si>
    <t>Auto Components</t>
  </si>
  <si>
    <t>Canara Bank</t>
  </si>
  <si>
    <t>INE476A01014</t>
  </si>
  <si>
    <t>Berger Paints (I) Ltd.</t>
  </si>
  <si>
    <t>INE463A01038</t>
  </si>
  <si>
    <t>Consumer Durables</t>
  </si>
  <si>
    <t>Bajaj Finance Ltd.</t>
  </si>
  <si>
    <t>INE296A01024</t>
  </si>
  <si>
    <t>State Bank of India</t>
  </si>
  <si>
    <t>INE062A01020</t>
  </si>
  <si>
    <t>Power Finance Corporation Ltd.</t>
  </si>
  <si>
    <t>INE134E01011</t>
  </si>
  <si>
    <t>Torrent Power Ltd.</t>
  </si>
  <si>
    <t>INE813H01021</t>
  </si>
  <si>
    <t>Exide Industries Ltd.</t>
  </si>
  <si>
    <t>INE302A01020</t>
  </si>
  <si>
    <t>JSW Steel Ltd.</t>
  </si>
  <si>
    <t>INE019A01038</t>
  </si>
  <si>
    <t>Ferrous Metals</t>
  </si>
  <si>
    <t>Delta Corp Ltd.</t>
  </si>
  <si>
    <t>INE124G01033</t>
  </si>
  <si>
    <t>Leisure Services</t>
  </si>
  <si>
    <t>Infosys Ltd.</t>
  </si>
  <si>
    <t>INE009A01021</t>
  </si>
  <si>
    <t>National Aluminium Company Ltd.</t>
  </si>
  <si>
    <t>INE139A01034</t>
  </si>
  <si>
    <t>P I INDUSTRIES LIMITED</t>
  </si>
  <si>
    <t>INE603J01030</t>
  </si>
  <si>
    <t>ICICI Lombard General Insurance Co. Ltd.</t>
  </si>
  <si>
    <t>INE765G01017</t>
  </si>
  <si>
    <t>Insurance</t>
  </si>
  <si>
    <t>Gujarat Narmada Valley Fert &amp; Chem Ltd.</t>
  </si>
  <si>
    <t>INE113A01013</t>
  </si>
  <si>
    <t>Tata Communications Ltd.</t>
  </si>
  <si>
    <t>INE151A01013</t>
  </si>
  <si>
    <t>Telecom - Services</t>
  </si>
  <si>
    <t>Cholamandalam Investment &amp; Finance Company Ltd.</t>
  </si>
  <si>
    <t>INE121A01024</t>
  </si>
  <si>
    <t>Voltas Ltd.</t>
  </si>
  <si>
    <t>INE226A01021</t>
  </si>
  <si>
    <t>Indraprastha Gas Ltd.</t>
  </si>
  <si>
    <t>INE203G01027</t>
  </si>
  <si>
    <t>Gas</t>
  </si>
  <si>
    <t>Samvardhana Motherson International Ltd.</t>
  </si>
  <si>
    <t>INE775A01035</t>
  </si>
  <si>
    <t>Aurobindo Pharma Ltd.</t>
  </si>
  <si>
    <t>INE406A01037</t>
  </si>
  <si>
    <t>SRF Ltd.</t>
  </si>
  <si>
    <t>INE647A01010</t>
  </si>
  <si>
    <t>Indian Energy Exchange Ltd.</t>
  </si>
  <si>
    <t>INE022Q01020</t>
  </si>
  <si>
    <t>Steel Authority of India Ltd.</t>
  </si>
  <si>
    <t>INE114A01011</t>
  </si>
  <si>
    <t>L&amp;T Finance Holdings Ltd.</t>
  </si>
  <si>
    <t>INE498L01015</t>
  </si>
  <si>
    <t>Dabur India Ltd.</t>
  </si>
  <si>
    <t>INE016A01026</t>
  </si>
  <si>
    <t>Personal Products</t>
  </si>
  <si>
    <t>Coromandel International Ltd.</t>
  </si>
  <si>
    <t>INE169A01031</t>
  </si>
  <si>
    <t>Godrej Properties Ltd.</t>
  </si>
  <si>
    <t>INE484J01027</t>
  </si>
  <si>
    <t>Realty</t>
  </si>
  <si>
    <t>Titan Company Ltd.</t>
  </si>
  <si>
    <t>INE280A01028</t>
  </si>
  <si>
    <t>Manappuram Finance Ltd.</t>
  </si>
  <si>
    <t>INE522D01027</t>
  </si>
  <si>
    <t>Larsen &amp; Toubro Ltd.</t>
  </si>
  <si>
    <t>INE018A01030</t>
  </si>
  <si>
    <t>Construction</t>
  </si>
  <si>
    <t>Nestle India Ltd.</t>
  </si>
  <si>
    <t>INE239A01016</t>
  </si>
  <si>
    <t>Food Products</t>
  </si>
  <si>
    <t>The Indian Hotels Company Ltd.</t>
  </si>
  <si>
    <t>INE053A01029</t>
  </si>
  <si>
    <t>ACC Ltd.</t>
  </si>
  <si>
    <t>INE012A01025</t>
  </si>
  <si>
    <t>HDFC Life Insurance Company Ltd.</t>
  </si>
  <si>
    <t>INE795G01014</t>
  </si>
  <si>
    <t>Container Corporation Of India Ltd.</t>
  </si>
  <si>
    <t>INE111A01025</t>
  </si>
  <si>
    <t>Bata India Ltd.</t>
  </si>
  <si>
    <t>INE176A01028</t>
  </si>
  <si>
    <t>Chambal Fertilizers &amp; Chemicals Ltd.</t>
  </si>
  <si>
    <t>INE085A01013</t>
  </si>
  <si>
    <t>Oberoi Realty Ltd.</t>
  </si>
  <si>
    <t>INE093I01010</t>
  </si>
  <si>
    <t>Ultratech Cement Ltd.</t>
  </si>
  <si>
    <t>INE481G01011</t>
  </si>
  <si>
    <t>Sun Pharmaceutical Industries Ltd.</t>
  </si>
  <si>
    <t>INE044A01036</t>
  </si>
  <si>
    <t>Vodafone Idea Ltd.</t>
  </si>
  <si>
    <t>INE669E01016</t>
  </si>
  <si>
    <t>Trent Ltd.</t>
  </si>
  <si>
    <t>INE849A01020</t>
  </si>
  <si>
    <t>Retailing</t>
  </si>
  <si>
    <t>Dalmia Bharat Ltd.</t>
  </si>
  <si>
    <t>INE00R701025</t>
  </si>
  <si>
    <t>Can Fin Homes Ltd.</t>
  </si>
  <si>
    <t>INE477A01020</t>
  </si>
  <si>
    <t>DLF Ltd.</t>
  </si>
  <si>
    <t>INE271C01023</t>
  </si>
  <si>
    <t>Apollo Hospitals Enterprise Ltd.</t>
  </si>
  <si>
    <t>INE437A01024</t>
  </si>
  <si>
    <t>Healthcare Services</t>
  </si>
  <si>
    <t>Vedanta Ltd.</t>
  </si>
  <si>
    <t>INE205A01025</t>
  </si>
  <si>
    <t>Diversified Metals</t>
  </si>
  <si>
    <t>Birlasoft Ltd.</t>
  </si>
  <si>
    <t>INE836A01035</t>
  </si>
  <si>
    <t>Laurus Labs Ltd.</t>
  </si>
  <si>
    <t>INE947Q01028</t>
  </si>
  <si>
    <t>ICICI Prudential Life Insurance Co Ltd.</t>
  </si>
  <si>
    <t>INE726G01019</t>
  </si>
  <si>
    <t>REC Ltd.</t>
  </si>
  <si>
    <t>INE020B01018</t>
  </si>
  <si>
    <t>Info Edge (India) Ltd.</t>
  </si>
  <si>
    <t>INE663F01024</t>
  </si>
  <si>
    <t>Apollo Tyres Ltd.</t>
  </si>
  <si>
    <t>INE438A01022</t>
  </si>
  <si>
    <t>Indiabulls Housing Finance Ltd.</t>
  </si>
  <si>
    <t>INE148I01020</t>
  </si>
  <si>
    <t>Rain Industries Ltd.</t>
  </si>
  <si>
    <t>INE855B01025</t>
  </si>
  <si>
    <t>The Federal Bank Ltd.</t>
  </si>
  <si>
    <t>INE171A01029</t>
  </si>
  <si>
    <t>Bandhan Bank Ltd.</t>
  </si>
  <si>
    <t>INE545U01014</t>
  </si>
  <si>
    <t>IDFC First Bank Ltd.</t>
  </si>
  <si>
    <t>INE092T01019</t>
  </si>
  <si>
    <t>Biocon Ltd.</t>
  </si>
  <si>
    <t>INE376G01013</t>
  </si>
  <si>
    <t>Aditya Birla Capital Ltd.</t>
  </si>
  <si>
    <t>INE674K01013</t>
  </si>
  <si>
    <t>Navin Fluorine International Ltd.</t>
  </si>
  <si>
    <t>INE048G01026</t>
  </si>
  <si>
    <t>Astral Ltd.</t>
  </si>
  <si>
    <t>INE006I01046</t>
  </si>
  <si>
    <t>ABB India Ltd.</t>
  </si>
  <si>
    <t>INE117A01022</t>
  </si>
  <si>
    <t>The India Cements Ltd.</t>
  </si>
  <si>
    <t>INE383A01012</t>
  </si>
  <si>
    <t>Balrampur Chini Mills Ltd.</t>
  </si>
  <si>
    <t>INE119A01028</t>
  </si>
  <si>
    <t>Agricultural Food &amp; other Products</t>
  </si>
  <si>
    <t>LIC Housing Finance Ltd.</t>
  </si>
  <si>
    <t>INE115A01026</t>
  </si>
  <si>
    <t>GMR Airports Infrastructure Ltd.</t>
  </si>
  <si>
    <t>INE776C01039</t>
  </si>
  <si>
    <t>Persistent Systems Ltd.</t>
  </si>
  <si>
    <t>INE262H01013</t>
  </si>
  <si>
    <t>Oracle Financial Services Software Ltd.</t>
  </si>
  <si>
    <t>INE881D01027</t>
  </si>
  <si>
    <t>SBI Life Insurance Company Ltd.</t>
  </si>
  <si>
    <t>INE123W01016</t>
  </si>
  <si>
    <t>Syngene International Ltd.</t>
  </si>
  <si>
    <t>INE398R01022</t>
  </si>
  <si>
    <t>TVS Motor Company Ltd.</t>
  </si>
  <si>
    <t>INE494B01023</t>
  </si>
  <si>
    <t>Grasim Industries Ltd.</t>
  </si>
  <si>
    <t>INE047A01021</t>
  </si>
  <si>
    <t>Dr. Reddy's Laboratories Ltd.</t>
  </si>
  <si>
    <t>INE089A01023</t>
  </si>
  <si>
    <t>Asian Paints Ltd.</t>
  </si>
  <si>
    <t>INE021A01026</t>
  </si>
  <si>
    <t>Gujarat State Petronet Ltd.</t>
  </si>
  <si>
    <t>INE246F01010</t>
  </si>
  <si>
    <t>Max Financial Services Ltd.</t>
  </si>
  <si>
    <t>INE180A01020</t>
  </si>
  <si>
    <t>Mphasis Ltd.</t>
  </si>
  <si>
    <t>INE356A01018</t>
  </si>
  <si>
    <t>Mahindra &amp; Mahindra Ltd.</t>
  </si>
  <si>
    <t>INE101A01026</t>
  </si>
  <si>
    <t>Coal India Ltd.</t>
  </si>
  <si>
    <t>INE522F01014</t>
  </si>
  <si>
    <t>Consumable Fuels</t>
  </si>
  <si>
    <t>Petronet LNG Ltd.</t>
  </si>
  <si>
    <t>INE347G01014</t>
  </si>
  <si>
    <t>Escorts Kubota Ltd.</t>
  </si>
  <si>
    <t>INE042A01014</t>
  </si>
  <si>
    <t>Jindal Steel &amp; Power Ltd.</t>
  </si>
  <si>
    <t>INE749A01030</t>
  </si>
  <si>
    <t>Hindustan Copper Ltd.</t>
  </si>
  <si>
    <t>INE531E01026</t>
  </si>
  <si>
    <t>Tata Motors Ltd.</t>
  </si>
  <si>
    <t>INE155A01022</t>
  </si>
  <si>
    <t>Lupin Ltd.</t>
  </si>
  <si>
    <t>INE326A01037</t>
  </si>
  <si>
    <t>Atul Ltd.</t>
  </si>
  <si>
    <t>INE100A01010</t>
  </si>
  <si>
    <t>Hindustan Unilever Ltd.</t>
  </si>
  <si>
    <t>INE030A01027</t>
  </si>
  <si>
    <t>IPCA Laboratories Ltd.</t>
  </si>
  <si>
    <t>INE571A01038</t>
  </si>
  <si>
    <t>Amara Raja Batteries Ltd.</t>
  </si>
  <si>
    <t>INE885A01032</t>
  </si>
  <si>
    <t>Glenmark Pharmaceuticals Ltd.</t>
  </si>
  <si>
    <t>INE935A01035</t>
  </si>
  <si>
    <t>Divi's Laboratories Ltd.</t>
  </si>
  <si>
    <t>INE361B01024</t>
  </si>
  <si>
    <t>Hindustan Petroleum Corporation Ltd.</t>
  </si>
  <si>
    <t>INE094A01015</t>
  </si>
  <si>
    <t>Marico Ltd.</t>
  </si>
  <si>
    <t>INE196A01026</t>
  </si>
  <si>
    <t>Balkrishna Industries Ltd.</t>
  </si>
  <si>
    <t>INE787D01026</t>
  </si>
  <si>
    <t>Pidilite Industries Ltd.</t>
  </si>
  <si>
    <t>INE318A01026</t>
  </si>
  <si>
    <t>Mahanagar Gas Ltd.</t>
  </si>
  <si>
    <t>INE002S01010</t>
  </si>
  <si>
    <t>Havells India Ltd.</t>
  </si>
  <si>
    <t>INE176B01034</t>
  </si>
  <si>
    <t>Aditya Birla Fashion and Retail Ltd.</t>
  </si>
  <si>
    <t>INE647O01011</t>
  </si>
  <si>
    <t>Jubilant Foodworks Ltd.</t>
  </si>
  <si>
    <t>INE797F01020</t>
  </si>
  <si>
    <t>NTPC Ltd.</t>
  </si>
  <si>
    <t>INE733E01010</t>
  </si>
  <si>
    <t>Tata Steel Ltd.</t>
  </si>
  <si>
    <t>INE081A01020</t>
  </si>
  <si>
    <t>Firstsource Solutions Ltd.</t>
  </si>
  <si>
    <t>INE684F01012</t>
  </si>
  <si>
    <t>IT - Services</t>
  </si>
  <si>
    <t>Bharat Petroleum Corporation Ltd.</t>
  </si>
  <si>
    <t>INE029A01011</t>
  </si>
  <si>
    <t>Bharat Forge Ltd.</t>
  </si>
  <si>
    <t>INE465A01025</t>
  </si>
  <si>
    <t>Crompton Greaves Cons Electrical Ltd.</t>
  </si>
  <si>
    <t>INE299U01018</t>
  </si>
  <si>
    <t>Abbott India Ltd.</t>
  </si>
  <si>
    <t>INE358A01014</t>
  </si>
  <si>
    <t>Oil &amp; Natural Gas Corporation Ltd.</t>
  </si>
  <si>
    <t>INE213A01029</t>
  </si>
  <si>
    <t>Oil</t>
  </si>
  <si>
    <t>Alkem Laboratories Ltd.</t>
  </si>
  <si>
    <t>INE540L01014</t>
  </si>
  <si>
    <t>Intellect Design Arena Ltd.</t>
  </si>
  <si>
    <t>INE306R01017</t>
  </si>
  <si>
    <t>Granules India Ltd.</t>
  </si>
  <si>
    <t>INE101D01020</t>
  </si>
  <si>
    <t>Torrent Pharmaceuticals Ltd.</t>
  </si>
  <si>
    <t>INE685A01028</t>
  </si>
  <si>
    <t>Gujarat Gas Ltd.</t>
  </si>
  <si>
    <t>INE844O01030</t>
  </si>
  <si>
    <t>Page Industries Ltd.</t>
  </si>
  <si>
    <t>INE761H01022</t>
  </si>
  <si>
    <t>Textiles &amp; Apparels</t>
  </si>
  <si>
    <t>United Breweries Ltd.</t>
  </si>
  <si>
    <t>INE686F01025</t>
  </si>
  <si>
    <t>Colgate Palmolive (India) Ltd.</t>
  </si>
  <si>
    <t>INE259A01022</t>
  </si>
  <si>
    <t>Whirlpool of India Ltd.</t>
  </si>
  <si>
    <t>INE716A01013</t>
  </si>
  <si>
    <t>(b) Unlisted</t>
  </si>
  <si>
    <t>Derivatives</t>
  </si>
  <si>
    <t>(a) Index/Stock Future</t>
  </si>
  <si>
    <t>Whirlpool of India Ltd.24/11/2022</t>
  </si>
  <si>
    <t>Colgate Palmolive (India) Ltd.24/11/2022</t>
  </si>
  <si>
    <t>United Breweries Ltd.24/11/2022</t>
  </si>
  <si>
    <t>Page Industries Ltd.24/11/2022</t>
  </si>
  <si>
    <t>Gujarat Gas Ltd.24/11/2022</t>
  </si>
  <si>
    <t>Torrent Pharmaceuticals Ltd.24/11/2022</t>
  </si>
  <si>
    <t>Granules India Ltd.24/11/2022</t>
  </si>
  <si>
    <t>Intellect Design Arena Ltd.24/11/2022</t>
  </si>
  <si>
    <t>Vodafone Idea Ltd.29/12/2022</t>
  </si>
  <si>
    <t>Alkem Laboratories Ltd.24/11/2022</t>
  </si>
  <si>
    <t>Oil &amp; Natural Gas Corporation Ltd.24/11/2022</t>
  </si>
  <si>
    <t>Abbott India Ltd.24/11/2022</t>
  </si>
  <si>
    <t>Crompton Greaves Cons Electrical Ltd.24/11/2022</t>
  </si>
  <si>
    <t>Bharat Forge Ltd.24/11/2022</t>
  </si>
  <si>
    <t>Bharat Petroleum Corporation Ltd.24/11/2022</t>
  </si>
  <si>
    <t>Firstsource Solutions Ltd.24/11/2022</t>
  </si>
  <si>
    <t>Tata Steel Ltd.24/11/2022</t>
  </si>
  <si>
    <t>NTPC Ltd.24/11/2022</t>
  </si>
  <si>
    <t>Jubilant Foodworks Ltd.24/11/2022</t>
  </si>
  <si>
    <t>Aditya Birla Fashion and Retail Ltd.24/11/2022</t>
  </si>
  <si>
    <t>Havells India Ltd.24/11/2022</t>
  </si>
  <si>
    <t>Mahanagar Gas Ltd.24/11/2022</t>
  </si>
  <si>
    <t>Pidilite Industries Ltd.24/11/2022</t>
  </si>
  <si>
    <t>Balkrishna Industries Ltd.24/11/2022</t>
  </si>
  <si>
    <t>Marico Ltd.24/11/2022</t>
  </si>
  <si>
    <t>Hindustan Petroleum Corporation Ltd.24/11/2022</t>
  </si>
  <si>
    <t>Divi's Laboratories Ltd.24/11/2022</t>
  </si>
  <si>
    <t>Glenmark Pharmaceuticals Ltd.24/11/2022</t>
  </si>
  <si>
    <t>Amara Raja Batteries Ltd.24/11/2022</t>
  </si>
  <si>
    <t>IPCA Laboratories Ltd.24/11/2022</t>
  </si>
  <si>
    <t>Hindustan Unilever Ltd.24/11/2022</t>
  </si>
  <si>
    <t>Atul Ltd.24/11/2022</t>
  </si>
  <si>
    <t>Lupin Ltd.24/11/2022</t>
  </si>
  <si>
    <t>Tata Motors Ltd.24/11/2022</t>
  </si>
  <si>
    <t>Hindustan Copper Ltd.24/11/2022</t>
  </si>
  <si>
    <t>Jindal Steel &amp; Power Ltd.24/11/2022</t>
  </si>
  <si>
    <t>Escorts Kubota Ltd.24/11/2022</t>
  </si>
  <si>
    <t>Petronet LNG Ltd.24/11/2022</t>
  </si>
  <si>
    <t>Coal India Ltd.24/11/2022</t>
  </si>
  <si>
    <t>Mahindra &amp; Mahindra Ltd.24/11/2022</t>
  </si>
  <si>
    <t>Mphasis Ltd.24/11/2022</t>
  </si>
  <si>
    <t>Max Financial Services Ltd.24/11/2022</t>
  </si>
  <si>
    <t>Gujarat State Petronet Ltd.24/11/2022</t>
  </si>
  <si>
    <t>Asian Paints Ltd.24/11/2022</t>
  </si>
  <si>
    <t>Dr. Reddy's Laboratories Ltd.24/11/2022</t>
  </si>
  <si>
    <t>Grasim Industries Ltd.24/11/2022</t>
  </si>
  <si>
    <t>TVS Motor Company Ltd.24/11/2022</t>
  </si>
  <si>
    <t>Syngene International Ltd.24/11/2022</t>
  </si>
  <si>
    <t>SBI Life Insurance Company Ltd.24/11/2022</t>
  </si>
  <si>
    <t>Persistent Systems Ltd.24/11/2022</t>
  </si>
  <si>
    <t>Oracle Financial Services Software Ltd.24/11/2022</t>
  </si>
  <si>
    <t>GMR Airports Infrastructure Ltd.24/11/2022</t>
  </si>
  <si>
    <t>LIC Housing Finance Ltd.24/11/2022</t>
  </si>
  <si>
    <t>Balrampur Chini Mills Ltd.24/11/2022</t>
  </si>
  <si>
    <t>The India Cements Ltd.24/11/2022</t>
  </si>
  <si>
    <t>ABB India Ltd.24/11/2022</t>
  </si>
  <si>
    <t>Astral Ltd.24/11/2022</t>
  </si>
  <si>
    <t>Navin Fluorine International Ltd.24/11/2022</t>
  </si>
  <si>
    <t>Aditya Birla Capital Ltd.24/11/2022</t>
  </si>
  <si>
    <t>Biocon Ltd.24/11/2022</t>
  </si>
  <si>
    <t>IDFC First Bank Ltd.24/11/2022</t>
  </si>
  <si>
    <t>Bandhan Bank Ltd.24/11/2022</t>
  </si>
  <si>
    <t>The Federal Bank Ltd.24/11/2022</t>
  </si>
  <si>
    <t>Rain Industries Ltd.24/11/2022</t>
  </si>
  <si>
    <t>Indiabulls Housing Finance Ltd.24/11/2022</t>
  </si>
  <si>
    <t>Apollo Tyres Ltd.24/11/2022</t>
  </si>
  <si>
    <t>Info Edge (India) Ltd.24/11/2022</t>
  </si>
  <si>
    <t>REC Ltd.24/11/2022</t>
  </si>
  <si>
    <t>ICICI Prudential Life Insurance Co Ltd.24/11/2022</t>
  </si>
  <si>
    <t>Laurus Labs Ltd.24/11/2022</t>
  </si>
  <si>
    <t>Birlasoft Ltd.24/11/2022</t>
  </si>
  <si>
    <t>Vedanta Ltd.24/11/2022</t>
  </si>
  <si>
    <t>Apollo Hospitals Enterprise Ltd.24/11/2022</t>
  </si>
  <si>
    <t>DLF Ltd.24/11/2022</t>
  </si>
  <si>
    <t>Can Fin Homes Ltd.24/11/2022</t>
  </si>
  <si>
    <t>Vodafone Idea Ltd.24/11/2022</t>
  </si>
  <si>
    <t>Dalmia Bharat Ltd.24/11/2022</t>
  </si>
  <si>
    <t>Trent Ltd.24/11/2022</t>
  </si>
  <si>
    <t>Sun Pharmaceutical Industries Ltd.24/11/2022</t>
  </si>
  <si>
    <t>Ultratech Cement Ltd.24/11/2022</t>
  </si>
  <si>
    <t>Oberoi Realty Ltd.24/11/2022</t>
  </si>
  <si>
    <t>Chambal Fertilizers &amp; Chemicals Ltd.24/11/2022</t>
  </si>
  <si>
    <t>Bata India Ltd.24/11/2022</t>
  </si>
  <si>
    <t>Container Corporation Of India Ltd.24/11/2022</t>
  </si>
  <si>
    <t>HDFC Life Insurance Company Ltd.24/11/2022</t>
  </si>
  <si>
    <t>ACC Ltd.24/11/2022</t>
  </si>
  <si>
    <t>The Indian Hotels Company Ltd.24/11/2022</t>
  </si>
  <si>
    <t>Nestle India Ltd.24/11/2022</t>
  </si>
  <si>
    <t>Larsen &amp; Toubro Ltd.24/11/2022</t>
  </si>
  <si>
    <t>Manappuram Finance Ltd.24/11/2022</t>
  </si>
  <si>
    <t>Titan Company Ltd.24/11/2022</t>
  </si>
  <si>
    <t>Godrej Properties Ltd.24/11/2022</t>
  </si>
  <si>
    <t>Coromandel International Ltd.24/11/2022</t>
  </si>
  <si>
    <t>Dabur India Ltd.24/11/2022</t>
  </si>
  <si>
    <t>L&amp;T Finance Holdings Ltd.24/11/2022</t>
  </si>
  <si>
    <t>Steel Authority of India Ltd.24/11/2022</t>
  </si>
  <si>
    <t>Indian Energy Exchange Ltd.24/11/2022</t>
  </si>
  <si>
    <t>SRF Ltd.24/11/2022</t>
  </si>
  <si>
    <t>Aurobindo Pharma Ltd.24/11/2022</t>
  </si>
  <si>
    <t>Indraprastha Gas Ltd.24/11/2022</t>
  </si>
  <si>
    <t>Samvardhana Motherson International Ltd.24/11/2022</t>
  </si>
  <si>
    <t>Voltas Ltd.24/11/2022</t>
  </si>
  <si>
    <t>Cholamandalam Investment &amp; Finance Company Ltd.24/11/2022</t>
  </si>
  <si>
    <t>Tata Communications Ltd.24/11/2022</t>
  </si>
  <si>
    <t>Gujarat Narmada Valley Fert &amp; Chem Ltd.24/11/2022</t>
  </si>
  <si>
    <t>ICICI Lombard General Insurance Co. Ltd.24/11/2022</t>
  </si>
  <si>
    <t>P I INDUSTRIES LIMITED24/11/2022</t>
  </si>
  <si>
    <t>National Aluminium Company Ltd.24/11/2022</t>
  </si>
  <si>
    <t>Infosys Ltd.24/11/2022</t>
  </si>
  <si>
    <t>Delta Corp Ltd.24/11/2022</t>
  </si>
  <si>
    <t>JSW Steel Ltd.24/11/2022</t>
  </si>
  <si>
    <t>Exide Industries Ltd.24/11/2022</t>
  </si>
  <si>
    <t>Torrent Power Ltd.24/11/2022</t>
  </si>
  <si>
    <t>Power Finance Corporation Ltd.24/11/2022</t>
  </si>
  <si>
    <t>State Bank of India24/11/2022</t>
  </si>
  <si>
    <t>Bajaj Finance Ltd.24/11/2022</t>
  </si>
  <si>
    <t>Berger Paints (I) Ltd.24/11/2022</t>
  </si>
  <si>
    <t>Canara Bank24/11/2022</t>
  </si>
  <si>
    <t>Bosch Ltd.24/11/2022</t>
  </si>
  <si>
    <t>ITC Ltd.24/11/2022</t>
  </si>
  <si>
    <t>Piramal Enterprises Ltd.24/11/2022</t>
  </si>
  <si>
    <t>Sun TV Network Ltd.24/11/2022</t>
  </si>
  <si>
    <t>Zydus Lifesciences Ltd.24/11/2022</t>
  </si>
  <si>
    <t>Cummins India Ltd.24/11/2022</t>
  </si>
  <si>
    <t>Multi Commodity Exchange Of India Ltd.24/11/2022</t>
  </si>
  <si>
    <t>Bharat Heavy Electricals Ltd.24/11/2022</t>
  </si>
  <si>
    <t>Tata Chemicals Ltd.24/11/2022</t>
  </si>
  <si>
    <t>RBL Bank Ltd.24/11/2022</t>
  </si>
  <si>
    <t>Tech Mahindra Ltd.24/11/2022</t>
  </si>
  <si>
    <t>Bharat Electronics Ltd.24/11/2022</t>
  </si>
  <si>
    <t>InterGlobe Aviation Ltd.24/11/2022</t>
  </si>
  <si>
    <t>Tata Consultancy Services Ltd.24/11/2022</t>
  </si>
  <si>
    <t>Axis Bank Ltd.24/11/2022</t>
  </si>
  <si>
    <t>IndusInd Bank Ltd.24/11/2022</t>
  </si>
  <si>
    <t>MindTree Ltd.24/11/2022</t>
  </si>
  <si>
    <t>HCL Technologies Ltd.24/11/2022</t>
  </si>
  <si>
    <t>Ambuja Cements Ltd.24/11/2022</t>
  </si>
  <si>
    <t>IDFC Ltd.24/11/2022</t>
  </si>
  <si>
    <t>Bank of Baroda24/11/2022</t>
  </si>
  <si>
    <t>Tata Power Company Ltd.24/11/2022</t>
  </si>
  <si>
    <t>Maruti Suzuki India Ltd.24/11/2022</t>
  </si>
  <si>
    <t>HDFC Bank Ltd.24/11/2022</t>
  </si>
  <si>
    <t>United Spirits Ltd.24/11/2022</t>
  </si>
  <si>
    <t>ICICI Bank Ltd.24/11/2022</t>
  </si>
  <si>
    <t>UPL Ltd.24/11/2022</t>
  </si>
  <si>
    <t>Housing Development Finance Corporation Ltd.24/11/2022</t>
  </si>
  <si>
    <t>Zee Entertainment Enterprises Ltd.24/11/2022</t>
  </si>
  <si>
    <t>Punjab National Bank24/11/2022</t>
  </si>
  <si>
    <t>Hindustan Aeronautics Ltd.24/11/2022</t>
  </si>
  <si>
    <t>Hindalco Industries Ltd.24/11/2022</t>
  </si>
  <si>
    <t>Adani Enterprises Ltd.24/11/2022</t>
  </si>
  <si>
    <t>Ashok Leyland Ltd.24/11/2022</t>
  </si>
  <si>
    <t>Reliance Industries Ltd.24/11/2022</t>
  </si>
  <si>
    <t>Kotak Mahindra Bank Ltd.24/11/2022</t>
  </si>
  <si>
    <t>Adani Ports &amp; Special Economic Zone Ltd.24/11/2022</t>
  </si>
  <si>
    <t>7.21% HDFC LTD NCD RED 30-12-2022**</t>
  </si>
  <si>
    <t>INE001A07SD3</t>
  </si>
  <si>
    <t>7.16% GOVT OF INDIA RED 20-05-2023</t>
  </si>
  <si>
    <t>IN0020130012</t>
  </si>
  <si>
    <t>8.83% GOVT OF INDIA RED 25-11-2023</t>
  </si>
  <si>
    <t>IN0020130061</t>
  </si>
  <si>
    <t>6.84% GOVT OF INDIA RED 19-12-2022</t>
  </si>
  <si>
    <t>IN0020160050</t>
  </si>
  <si>
    <t>3.96% GOVT OF INDIA RED 09-11-2022</t>
  </si>
  <si>
    <t>IN0020200260</t>
  </si>
  <si>
    <t>6.69% GOVT OF INDIA RED 27-06-2024</t>
  </si>
  <si>
    <t>IN0020220052</t>
  </si>
  <si>
    <t>182 DAYS TBILL RED 15-12-2022</t>
  </si>
  <si>
    <t>IN002022Y112</t>
  </si>
  <si>
    <t>364 DAYS TBILL RED 19-01-2023</t>
  </si>
  <si>
    <t>IN002021Z442</t>
  </si>
  <si>
    <t>364 DAYS TBILL RED 16-03-2023</t>
  </si>
  <si>
    <t>IN002021Z525</t>
  </si>
  <si>
    <t>364 DAYS TBILL RED 29-06-2023</t>
  </si>
  <si>
    <t>IN002022Z135</t>
  </si>
  <si>
    <t>364 DAYS TBILL RED 22-06-2023</t>
  </si>
  <si>
    <t>IN002022Z127</t>
  </si>
  <si>
    <t>364 DAYS TBILL RED 02-03-2023</t>
  </si>
  <si>
    <t>IN002021Z509</t>
  </si>
  <si>
    <t>364 DAYS TBILL RED 17-08-2023</t>
  </si>
  <si>
    <t>IN002022Z200</t>
  </si>
  <si>
    <t>364 DAYS TBILL RED 25-05-2023</t>
  </si>
  <si>
    <t>IN002022Z085</t>
  </si>
  <si>
    <t>364 DAYS TBILL RED 05-01-2023</t>
  </si>
  <si>
    <t>IN002021Z426</t>
  </si>
  <si>
    <t>364 DAYS TBILL RED 17-11-2022</t>
  </si>
  <si>
    <t>IN002021Z343</t>
  </si>
  <si>
    <t>182 DAYS TBILL RED 22-12-2022</t>
  </si>
  <si>
    <t>IN002022Y120</t>
  </si>
  <si>
    <t>INE860H14W43</t>
  </si>
  <si>
    <t>INE018A14IS2</t>
  </si>
  <si>
    <t>Net Receivables/(Payables) include Net Current Assets as well as the Mark to Market on derivative trades.</t>
  </si>
  <si>
    <t>Bajaj Finserv Ltd.</t>
  </si>
  <si>
    <t>INE918I01026</t>
  </si>
  <si>
    <t>GAIL (India) Ltd.</t>
  </si>
  <si>
    <t>INE129A01019</t>
  </si>
  <si>
    <t>Computer Age Management Services Ltd.</t>
  </si>
  <si>
    <t>INE596I01012</t>
  </si>
  <si>
    <t>Schaeffler India Ltd.</t>
  </si>
  <si>
    <t>INE513A01022</t>
  </si>
  <si>
    <t>SBI Cards &amp; Payment Services Ltd.</t>
  </si>
  <si>
    <t>INE018E01016</t>
  </si>
  <si>
    <t>UNO Minda Ltd.</t>
  </si>
  <si>
    <t>INE405E01023</t>
  </si>
  <si>
    <t>Godrej Consumer Products Ltd.</t>
  </si>
  <si>
    <t>INE102D01028</t>
  </si>
  <si>
    <t>Orient Electric Ltd.</t>
  </si>
  <si>
    <t>INE142Z01019</t>
  </si>
  <si>
    <t>Avenue Supermarts Ltd.</t>
  </si>
  <si>
    <t>INE192R01011</t>
  </si>
  <si>
    <t>Creditaccess Grameen Ltd.</t>
  </si>
  <si>
    <t>INE741K01010</t>
  </si>
  <si>
    <t>Brigade Enterprises Ltd.</t>
  </si>
  <si>
    <t>INE791I01019</t>
  </si>
  <si>
    <t>Kajaria Ceramics Ltd.</t>
  </si>
  <si>
    <t>INE217B01036</t>
  </si>
  <si>
    <t>Westlife Development Ltd.</t>
  </si>
  <si>
    <t>INE274F01020</t>
  </si>
  <si>
    <t>V-Mart Retail Ltd.</t>
  </si>
  <si>
    <t>INE665J01013</t>
  </si>
  <si>
    <t>NMDC Ltd.</t>
  </si>
  <si>
    <t>INE584A01023</t>
  </si>
  <si>
    <t>Minerals &amp; Mining</t>
  </si>
  <si>
    <t>Tata Elxsi Ltd.</t>
  </si>
  <si>
    <t>INE670A01012</t>
  </si>
  <si>
    <t>Gujarat Fluorochemicals Ltd.</t>
  </si>
  <si>
    <t>INE09N301011</t>
  </si>
  <si>
    <t>Timken India Ltd.</t>
  </si>
  <si>
    <t>INE325A01013</t>
  </si>
  <si>
    <t>BROOKFIELD INDIA REAL ESTATE TRUST</t>
  </si>
  <si>
    <t>INE0FDU25010</t>
  </si>
  <si>
    <t>Bharti Airtel Ltd.</t>
  </si>
  <si>
    <t>IN9397D01014</t>
  </si>
  <si>
    <t>CRISIL Ltd.</t>
  </si>
  <si>
    <t>INE007A01025</t>
  </si>
  <si>
    <t>Hindustan Zinc Ltd.</t>
  </si>
  <si>
    <t>INE267A01025</t>
  </si>
  <si>
    <t>JK Cement Ltd.</t>
  </si>
  <si>
    <t>INE823G01014</t>
  </si>
  <si>
    <t>KNR Constructions Ltd.</t>
  </si>
  <si>
    <t>INE634I01029</t>
  </si>
  <si>
    <t>Gland Pharma Ltd.</t>
  </si>
  <si>
    <t>INE068V01023</t>
  </si>
  <si>
    <t>Sumitomo Chemical India Ltd.</t>
  </si>
  <si>
    <t>INE258G01013</t>
  </si>
  <si>
    <t>HDFC LTD WARRANTS</t>
  </si>
  <si>
    <t>INE001A13049</t>
  </si>
  <si>
    <t>INE397D01024</t>
  </si>
  <si>
    <t>Eicher Motors Ltd.</t>
  </si>
  <si>
    <t>INE066A01021</t>
  </si>
  <si>
    <t>L&amp;T Technology Services Ltd.</t>
  </si>
  <si>
    <t>INE010V01017</t>
  </si>
  <si>
    <t>Coforge Ltd.</t>
  </si>
  <si>
    <t>INE591G01017</t>
  </si>
  <si>
    <t>NMDC Steel Ltd.</t>
  </si>
  <si>
    <t>INDUMMY27101</t>
  </si>
  <si>
    <t>Bharti Airtel Ltd.24/11/2022</t>
  </si>
  <si>
    <t>Eicher Motors Ltd.24/11/2022</t>
  </si>
  <si>
    <t>Coforge Ltd.24/11/2022</t>
  </si>
  <si>
    <t>L&amp;T Technology Services Ltd.24/11/2022</t>
  </si>
  <si>
    <t>JK Cement Ltd.24/11/2022</t>
  </si>
  <si>
    <t>NIFTY 24/11/2022</t>
  </si>
  <si>
    <t>INDEX FUTURES</t>
  </si>
  <si>
    <t>(B)Index / Stock Option</t>
  </si>
  <si>
    <t>PUT NIFTY 24/11/2022 18500</t>
  </si>
  <si>
    <t>INDEX OPTIONS</t>
  </si>
  <si>
    <t>CALL INDUSIND BANK LTD 24/11/2022 1250</t>
  </si>
  <si>
    <t>SHARE OPTIONS</t>
  </si>
  <si>
    <t>CALL HINDALCO IND LTD 24/11/2022 430</t>
  </si>
  <si>
    <t>CALL ITC LTD 24/11/2022 365</t>
  </si>
  <si>
    <t>CALL ONGC 24/11/2022 145</t>
  </si>
  <si>
    <t>CALL RELIANCE IND LTD 24/11/2022 2600</t>
  </si>
  <si>
    <t>CALL COAL INDIA LTD 24/11/2022 265</t>
  </si>
  <si>
    <t>CALL BAJAJ FINANCE LTD 24/11/2022 7600</t>
  </si>
  <si>
    <t>CALL MARUTI SUZUKI IND24/11/2022 10000</t>
  </si>
  <si>
    <t>CALL BAJAJ FINSERV LTD 24/11/2022 1800</t>
  </si>
  <si>
    <t>CALL ULTRATECH CEMENT 24/11/2022 6700</t>
  </si>
  <si>
    <t>CALL NTPC LTD 24/11/2022 180</t>
  </si>
  <si>
    <t>CALL AXIS BANK LTD 24/11/2022 930</t>
  </si>
  <si>
    <t>CALL MARUTI SUZUKI IND 24/11/2022 9500</t>
  </si>
  <si>
    <t>5.14% NABARD NCD RED 31-01-2024**</t>
  </si>
  <si>
    <t>INE261F08CK9</t>
  </si>
  <si>
    <t>5.32% NATIONAL HOUSING BANK RED 01-09-23**</t>
  </si>
  <si>
    <t>INE557F08FK3</t>
  </si>
  <si>
    <t>8.2% IND GR TRU SR V CAT III&amp;IV 06-05-31**</t>
  </si>
  <si>
    <t>INE219X07264</t>
  </si>
  <si>
    <t>7.40% IND GR TRU SR K 26-12-25 C 270925**</t>
  </si>
  <si>
    <t>INE219X07132</t>
  </si>
  <si>
    <t>7.37% GOVT OF INDIA RED 16-04-2023</t>
  </si>
  <si>
    <t>IN0020180025</t>
  </si>
  <si>
    <t>182 DAYS TBILL RED 01-12-2022</t>
  </si>
  <si>
    <t>IN002022Y096</t>
  </si>
  <si>
    <t>182 DAYS TBILL RED 08-12-2022</t>
  </si>
  <si>
    <t>IN002022Y104</t>
  </si>
  <si>
    <t>364 DAYS TBILL RED 12-01-2023</t>
  </si>
  <si>
    <t>IN002021Z434</t>
  </si>
  <si>
    <t>AXIS BANK LTD CD RED 09-03-2023#**</t>
  </si>
  <si>
    <t>INE238A163Z9</t>
  </si>
  <si>
    <t>Britannia Industries Ltd.</t>
  </si>
  <si>
    <t>INE216A01030</t>
  </si>
  <si>
    <t>Solar Industries India Ltd.</t>
  </si>
  <si>
    <t>INE343H01029</t>
  </si>
  <si>
    <t>Procter &amp; Gamble Hygiene&amp;HealthCare Ltd.</t>
  </si>
  <si>
    <t>INE179A01014</t>
  </si>
  <si>
    <t>Siemens Ltd.</t>
  </si>
  <si>
    <t>INE003A01024</t>
  </si>
  <si>
    <t>AIA Engineering Ltd.</t>
  </si>
  <si>
    <t>INE212H01026</t>
  </si>
  <si>
    <t>GlaxoSmithKline Pharmaceuticals Ltd.</t>
  </si>
  <si>
    <t>INE159A01016</t>
  </si>
  <si>
    <t>Power Grid Corporation of India Ltd.</t>
  </si>
  <si>
    <t>INE752E01010</t>
  </si>
  <si>
    <t>Nifty Bank 24/11/2022</t>
  </si>
  <si>
    <t>Cipla Ltd.</t>
  </si>
  <si>
    <t>INE059A01026</t>
  </si>
  <si>
    <t>Hero MotoCorp Ltd.</t>
  </si>
  <si>
    <t>INE158A01026</t>
  </si>
  <si>
    <t>Motherson Sumi Wiring India Ltd.</t>
  </si>
  <si>
    <t>INE0FS801015</t>
  </si>
  <si>
    <t>JB Chemicals &amp; Pharmaceuticals Ltd.</t>
  </si>
  <si>
    <t>INE572A01028</t>
  </si>
  <si>
    <t>Max Healthcare Institute Ltd.</t>
  </si>
  <si>
    <t>INE027H01010</t>
  </si>
  <si>
    <t>APL Apollo Tubes Ltd.</t>
  </si>
  <si>
    <t>INE702C01027</t>
  </si>
  <si>
    <t>Action Construction Equipment Ltd.</t>
  </si>
  <si>
    <t>INE731H01025</t>
  </si>
  <si>
    <t>The Phoenix Mills Ltd.</t>
  </si>
  <si>
    <t>INE211B01039</t>
  </si>
  <si>
    <t>Praj Industries Ltd.</t>
  </si>
  <si>
    <t>INE074A01025</t>
  </si>
  <si>
    <t>Industrial Manufacturing</t>
  </si>
  <si>
    <t>GMM Pfaudler Ltd.</t>
  </si>
  <si>
    <t>INE541A01023</t>
  </si>
  <si>
    <t>Honeywell Automation India Ltd.</t>
  </si>
  <si>
    <t>INE671A01010</t>
  </si>
  <si>
    <t>Century Plyboards (India) Ltd.</t>
  </si>
  <si>
    <t>INE348B01021</t>
  </si>
  <si>
    <t>Dixon Technologies (India) Ltd.</t>
  </si>
  <si>
    <t>INE935N01020</t>
  </si>
  <si>
    <t>Emami Ltd.</t>
  </si>
  <si>
    <t>INE548C01032</t>
  </si>
  <si>
    <t>Kansai Nerolac Paints Ltd.</t>
  </si>
  <si>
    <t>INE531A01024</t>
  </si>
  <si>
    <t>Mahindra Logistics Ltd.</t>
  </si>
  <si>
    <t>INE766P01016</t>
  </si>
  <si>
    <t>Indian Bank</t>
  </si>
  <si>
    <t>INE562A01011</t>
  </si>
  <si>
    <t>Gateway Distriparks Ltd.</t>
  </si>
  <si>
    <t>INE079J01017</t>
  </si>
  <si>
    <t>KEI Industries Ltd.</t>
  </si>
  <si>
    <t>INE878B01027</t>
  </si>
  <si>
    <t>City Union Bank Ltd.</t>
  </si>
  <si>
    <t>INE491A01021</t>
  </si>
  <si>
    <t>Mold-Tek Packaging Ltd.</t>
  </si>
  <si>
    <t>INE893J01029</t>
  </si>
  <si>
    <t>Ratnamani Metals &amp; Tubes Ltd.</t>
  </si>
  <si>
    <t>INE703B01027</t>
  </si>
  <si>
    <t>K.P.R. Mill Ltd.</t>
  </si>
  <si>
    <t>INE930H01031</t>
  </si>
  <si>
    <t>Apar Industries Ltd.</t>
  </si>
  <si>
    <t>INE372A01015</t>
  </si>
  <si>
    <t>RHI Magnesita India Ltd.</t>
  </si>
  <si>
    <t>INE743M01012</t>
  </si>
  <si>
    <t>JK Lakshmi Cement Ltd.</t>
  </si>
  <si>
    <t>INE786A01032</t>
  </si>
  <si>
    <t>NOCIL Ltd.</t>
  </si>
  <si>
    <t>INE163A01018</t>
  </si>
  <si>
    <t>Jamna Auto Industries Ltd.</t>
  </si>
  <si>
    <t>INE039C01032</t>
  </si>
  <si>
    <t>TCI Express Ltd.</t>
  </si>
  <si>
    <t>INE586V01016</t>
  </si>
  <si>
    <t>PNC Infratech Ltd.</t>
  </si>
  <si>
    <t>INE195J01029</t>
  </si>
  <si>
    <t>The Great Eastern Shipping Company Ltd.</t>
  </si>
  <si>
    <t>INE017A01032</t>
  </si>
  <si>
    <t>Teamlease Services Ltd.</t>
  </si>
  <si>
    <t>INE985S01024</t>
  </si>
  <si>
    <t>Commercial Services &amp; Supplies</t>
  </si>
  <si>
    <t>Voltamp Transformers Ltd.</t>
  </si>
  <si>
    <t>INE540H01012</t>
  </si>
  <si>
    <t>Fine Organic Industries Ltd.</t>
  </si>
  <si>
    <t>INE686Y01026</t>
  </si>
  <si>
    <t>Garware Technical Fibres Ltd.</t>
  </si>
  <si>
    <t>INE276A01018</t>
  </si>
  <si>
    <t>Carborundum Universal Ltd.</t>
  </si>
  <si>
    <t>INE120A01034</t>
  </si>
  <si>
    <t>Greenpanel Industries Ltd.</t>
  </si>
  <si>
    <t>INE08ZM01014</t>
  </si>
  <si>
    <t>Subros Ltd.</t>
  </si>
  <si>
    <t>INE287B01021</t>
  </si>
  <si>
    <t>KEC International Ltd.</t>
  </si>
  <si>
    <t>INE389H01022</t>
  </si>
  <si>
    <t>Tejas Networks Ltd.</t>
  </si>
  <si>
    <t>INE010J01012</t>
  </si>
  <si>
    <t>Telecom - Equipment &amp; Accessories</t>
  </si>
  <si>
    <t>Grindwell Norton Ltd.</t>
  </si>
  <si>
    <t>INE536A01023</t>
  </si>
  <si>
    <t>CSB Bank Ltd.</t>
  </si>
  <si>
    <t>INE679A01013</t>
  </si>
  <si>
    <t>Suven Pharmaceuticals Ltd.</t>
  </si>
  <si>
    <t>INE03QK01018</t>
  </si>
  <si>
    <t>Amber Enterprises India Ltd.</t>
  </si>
  <si>
    <t>INE371P01015</t>
  </si>
  <si>
    <t>Mastek Ltd.</t>
  </si>
  <si>
    <t>INE759A01021</t>
  </si>
  <si>
    <t>Equitas Holdings Ltd.</t>
  </si>
  <si>
    <t>INE988K01017</t>
  </si>
  <si>
    <t>Vedant Fashions Ltd.</t>
  </si>
  <si>
    <t>INE825V01034</t>
  </si>
  <si>
    <t>Agro Tech Foods Ltd.</t>
  </si>
  <si>
    <t>INE209A01019</t>
  </si>
  <si>
    <t>Rolex Rings Ltd.</t>
  </si>
  <si>
    <t>INE645S01016</t>
  </si>
  <si>
    <t>Ahluwalia Contracts (India) Ltd.</t>
  </si>
  <si>
    <t>INE758C01029</t>
  </si>
  <si>
    <t>Angel One Ltd.</t>
  </si>
  <si>
    <t>INE732I01013</t>
  </si>
  <si>
    <t>Cholamandalam Financial Holdings Ltd.</t>
  </si>
  <si>
    <t>INE149A01033</t>
  </si>
  <si>
    <t>Sudarshan Chemical Industries Ltd.</t>
  </si>
  <si>
    <t>INE659A01023</t>
  </si>
  <si>
    <t>Rategain Travel Technologies Ltd.</t>
  </si>
  <si>
    <t>INE0CLI01024</t>
  </si>
  <si>
    <t>Vinati Organics Ltd.</t>
  </si>
  <si>
    <t>INE410B01037</t>
  </si>
  <si>
    <t>Ashoka Buildcon Ltd.</t>
  </si>
  <si>
    <t>INE442H01029</t>
  </si>
  <si>
    <t>ZF Commercial Vehicle Ctrl Sys Ind Ltd.</t>
  </si>
  <si>
    <t>INE342J01019</t>
  </si>
  <si>
    <t>BEML Ltd.</t>
  </si>
  <si>
    <t>INE258A01016</t>
  </si>
  <si>
    <t>MINDSPACE BUSINESS PARKS REIT</t>
  </si>
  <si>
    <t>INE0CCU25019</t>
  </si>
  <si>
    <t>BEML LAND ASSETS LTD</t>
  </si>
  <si>
    <t>INE0N7W01012</t>
  </si>
  <si>
    <t>CALL BHARAT PETRO CORP 24/11/2022 325</t>
  </si>
  <si>
    <t>CALL NTPC LTD 24/11/2022 185</t>
  </si>
  <si>
    <t>CALL TATA STEEL LTD 24/11/2022 110</t>
  </si>
  <si>
    <t>CALL HDFC BANK LTD 24/11/2022 1540</t>
  </si>
  <si>
    <t>CALL DIVI'S LABORATORIES 24/11/2022 3800</t>
  </si>
  <si>
    <t>CALL INDUSIND BANK LTD 24/11/2022 1230</t>
  </si>
  <si>
    <t>CALL TCS 24/11/2022 3320</t>
  </si>
  <si>
    <t>CALL INFOSYS LTD 24/11/2022 1600</t>
  </si>
  <si>
    <t>CALL DR. REDDY'S LAB 24/11/22 4750</t>
  </si>
  <si>
    <t>CALL COAL INDIA LTD 24/11/2022 260</t>
  </si>
  <si>
    <t>CALL HINDUNILVR 24/11/2022 2660</t>
  </si>
  <si>
    <t>CALL SUNPHARMA 24/11/2022 1060</t>
  </si>
  <si>
    <t>CALL BAJAJ FINSERV LTD 24/11/2022 1750</t>
  </si>
  <si>
    <t>CALL ULTRATECH CEMENT LTD 24/11/2022 680</t>
  </si>
  <si>
    <t>CALL UPL LTD 24/11/2022 760</t>
  </si>
  <si>
    <t>CALL BAJAJ FINANCE LTD 24/11/2022 7500</t>
  </si>
  <si>
    <t>CALL M&amp;M LTD 24/11/2022 1380</t>
  </si>
  <si>
    <t>CALL ICICI BANK LTD 24/11/2022 970</t>
  </si>
  <si>
    <t>CALL AXIS BANK LTD 24/11/2022 960</t>
  </si>
  <si>
    <t>CALL LT 24/11/2022 2100</t>
  </si>
  <si>
    <t>CALL MARUTI SUZUKI IND 24/11/2022 9700</t>
  </si>
  <si>
    <t>EDELWEISS LIQUID FUND - DIRECT PL -GR</t>
  </si>
  <si>
    <t>INF754K01GM4</t>
  </si>
  <si>
    <t>Wipro Ltd.</t>
  </si>
  <si>
    <t>INE075A01022</t>
  </si>
  <si>
    <t>Bajaj Auto Ltd.</t>
  </si>
  <si>
    <t>INE917I01010</t>
  </si>
  <si>
    <t>Larsen &amp; Toubro Infotech Ltd.</t>
  </si>
  <si>
    <t>INE214T01019</t>
  </si>
  <si>
    <t>Muthoot Finance Ltd.</t>
  </si>
  <si>
    <t>INE414G01012</t>
  </si>
  <si>
    <t>Tata Consumer Products Ltd.</t>
  </si>
  <si>
    <t>INE192A01025</t>
  </si>
  <si>
    <t>Yes Bank Ltd.</t>
  </si>
  <si>
    <t>Tube Investments Of India Ltd.</t>
  </si>
  <si>
    <t>INE974X01010</t>
  </si>
  <si>
    <t>AU Small Finance Bank Ltd.</t>
  </si>
  <si>
    <t>INE949L01017</t>
  </si>
  <si>
    <t>VARUN BEVERAGES LIMITED</t>
  </si>
  <si>
    <t>INE200M01013</t>
  </si>
  <si>
    <t>Shriram Transport Finance Company Ltd.</t>
  </si>
  <si>
    <t>INE721A01013</t>
  </si>
  <si>
    <t>INE528G01035</t>
  </si>
  <si>
    <t>MRF Ltd.</t>
  </si>
  <si>
    <t>INE883A01011</t>
  </si>
  <si>
    <t>Adani Total Gas Ltd.</t>
  </si>
  <si>
    <t>INE399L01023</t>
  </si>
  <si>
    <t>Adani Transmission Ltd.</t>
  </si>
  <si>
    <t>INE931S01010</t>
  </si>
  <si>
    <t>Deepak Nitrite Ltd.</t>
  </si>
  <si>
    <t>INE288B01029</t>
  </si>
  <si>
    <t>CG Power and Industrial Solutions Ltd.</t>
  </si>
  <si>
    <t>INE067A01029</t>
  </si>
  <si>
    <t>Sundaram Finance Ltd.</t>
  </si>
  <si>
    <t>INE660A01013</t>
  </si>
  <si>
    <t>Adani Green Energy Ltd.</t>
  </si>
  <si>
    <t>INE364U01010</t>
  </si>
  <si>
    <t>Fortis Healthcare Ltd.</t>
  </si>
  <si>
    <t>INE061F01013</t>
  </si>
  <si>
    <t>Supreme Industries Ltd.</t>
  </si>
  <si>
    <t>INE195A01028</t>
  </si>
  <si>
    <t>JSW Energy Ltd.</t>
  </si>
  <si>
    <t>INE121E01018</t>
  </si>
  <si>
    <t>Polycab India Ltd.</t>
  </si>
  <si>
    <t>INE455K01017</t>
  </si>
  <si>
    <t>Mahindra &amp; Mahindra Financial Services Ltd</t>
  </si>
  <si>
    <t>INE774D01024</t>
  </si>
  <si>
    <t>NHPC Ltd.</t>
  </si>
  <si>
    <t>INE848E01016</t>
  </si>
  <si>
    <t>Adani Wilmar Ltd.</t>
  </si>
  <si>
    <t>INE699H01024</t>
  </si>
  <si>
    <t>SKF India Ltd.</t>
  </si>
  <si>
    <t>INE640A01023</t>
  </si>
  <si>
    <t>Sundram Fasteners Ltd.</t>
  </si>
  <si>
    <t>INE387A01021</t>
  </si>
  <si>
    <t>Patanjali Foods Ltd.</t>
  </si>
  <si>
    <t>INE619A01035</t>
  </si>
  <si>
    <t>Rajesh Exports Ltd.</t>
  </si>
  <si>
    <t>INE343B01030</t>
  </si>
  <si>
    <t>Poonawalla Fincorp Ltd.</t>
  </si>
  <si>
    <t>INE511C01022</t>
  </si>
  <si>
    <t>The Ramco Cements Ltd.</t>
  </si>
  <si>
    <t>INE331A01037</t>
  </si>
  <si>
    <t>Sona BLW Precision Forgings Ltd.</t>
  </si>
  <si>
    <t>INE073K01018</t>
  </si>
  <si>
    <t>Aavas Financiers Ltd.</t>
  </si>
  <si>
    <t>INE216P01012</t>
  </si>
  <si>
    <t>Macrotech Developers Ltd.</t>
  </si>
  <si>
    <t>INE670K01029</t>
  </si>
  <si>
    <t>Dr. Lal Path Labs Ltd.</t>
  </si>
  <si>
    <t>INE600L01024</t>
  </si>
  <si>
    <t>Thermax Ltd.</t>
  </si>
  <si>
    <t>INE152A01029</t>
  </si>
  <si>
    <t>Indiamart Intermesh Ltd.</t>
  </si>
  <si>
    <t>INE933S01016</t>
  </si>
  <si>
    <t>Relaxo Footwears Ltd.</t>
  </si>
  <si>
    <t>INE131B01039</t>
  </si>
  <si>
    <t>Oil India Ltd.</t>
  </si>
  <si>
    <t>INE274J01014</t>
  </si>
  <si>
    <t>Pfizer Ltd.</t>
  </si>
  <si>
    <t>INE182A01018</t>
  </si>
  <si>
    <t>Linde India Ltd.</t>
  </si>
  <si>
    <t>INE473A01011</t>
  </si>
  <si>
    <t>3M India Ltd.</t>
  </si>
  <si>
    <t>INE470A01017</t>
  </si>
  <si>
    <t>Diversified</t>
  </si>
  <si>
    <t>Union Bank of India</t>
  </si>
  <si>
    <t>INE692A01016</t>
  </si>
  <si>
    <t>Bajaj Holdings &amp; Investment Ltd.</t>
  </si>
  <si>
    <t>INE118A01012</t>
  </si>
  <si>
    <t>Prestige Estates Projects Ltd.</t>
  </si>
  <si>
    <t>INE811K01011</t>
  </si>
  <si>
    <t>Affle (India) Ltd.</t>
  </si>
  <si>
    <t>INE00WC01027</t>
  </si>
  <si>
    <t>Happiest Minds Technologies Ltd.</t>
  </si>
  <si>
    <t>INE419U01012</t>
  </si>
  <si>
    <t>Bayer Cropscience Ltd.</t>
  </si>
  <si>
    <t>INE462A01022</t>
  </si>
  <si>
    <t>Shree Cement Ltd.</t>
  </si>
  <si>
    <t>INE070A01015</t>
  </si>
  <si>
    <t>Star Health &amp; Allied Insurance Co Ltd.</t>
  </si>
  <si>
    <t>INE575P01011</t>
  </si>
  <si>
    <t>Natco Pharma Ltd.</t>
  </si>
  <si>
    <t>INE987B01026</t>
  </si>
  <si>
    <t>Hatsun Agro Product Ltd.</t>
  </si>
  <si>
    <t>INE473B01035</t>
  </si>
  <si>
    <t>Tata Teleservices (Maharashtra) Ltd.</t>
  </si>
  <si>
    <t>INE517B01013</t>
  </si>
  <si>
    <t>Sanofi India Ltd.</t>
  </si>
  <si>
    <t>INE058A01010</t>
  </si>
  <si>
    <t>Indian Oil Corporation Ltd.</t>
  </si>
  <si>
    <t>INE242A01010</t>
  </si>
  <si>
    <t>Ajanta Pharma Ltd.</t>
  </si>
  <si>
    <t>INE031B01049</t>
  </si>
  <si>
    <t>Endurance Technologies Ltd.</t>
  </si>
  <si>
    <t>INE913H01037</t>
  </si>
  <si>
    <t>Bank of India</t>
  </si>
  <si>
    <t>INE084A01016</t>
  </si>
  <si>
    <t>PB Fintech Ltd.</t>
  </si>
  <si>
    <t>INE417T01026</t>
  </si>
  <si>
    <t>Financial Technology (Fintech)</t>
  </si>
  <si>
    <t>Trident Ltd.</t>
  </si>
  <si>
    <t>INE064C01022</t>
  </si>
  <si>
    <t>Blue Dart Express Ltd.</t>
  </si>
  <si>
    <t>INE233B01017</t>
  </si>
  <si>
    <t>Nippon Life India Asset Management Ltd.</t>
  </si>
  <si>
    <t>INE298J01013</t>
  </si>
  <si>
    <t>Alkyl Amines Chemicals Ltd.</t>
  </si>
  <si>
    <t>INE150B01039</t>
  </si>
  <si>
    <t>ICICI Securities Ltd.</t>
  </si>
  <si>
    <t>INE763G01038</t>
  </si>
  <si>
    <t>Indian Railway Finance Corporation Ltd.</t>
  </si>
  <si>
    <t>INE053F01010</t>
  </si>
  <si>
    <t>Devyani International Ltd.</t>
  </si>
  <si>
    <t>INE872J01023</t>
  </si>
  <si>
    <t>Zomato Ltd.</t>
  </si>
  <si>
    <t>INE758T01015</t>
  </si>
  <si>
    <t>Indian Railway Catering &amp;Tou. Corp. Ltd.</t>
  </si>
  <si>
    <t>INE335Y01020</t>
  </si>
  <si>
    <t>Delhivery Ltd.</t>
  </si>
  <si>
    <t>INE148O01028</t>
  </si>
  <si>
    <t>Alembic Pharmaceuticals Ltd.</t>
  </si>
  <si>
    <t>INE901L01018</t>
  </si>
  <si>
    <t>General Insurance Corporation of India</t>
  </si>
  <si>
    <t>INE481Y01014</t>
  </si>
  <si>
    <t>Indus Towers Ltd.</t>
  </si>
  <si>
    <t>INE121J01017</t>
  </si>
  <si>
    <t>Life Insurance Corporation of India</t>
  </si>
  <si>
    <t>INE0J1Y01017</t>
  </si>
  <si>
    <t>Clean Science and Technology Ltd.</t>
  </si>
  <si>
    <t>INE227W01023</t>
  </si>
  <si>
    <t>Godrej Industries Ltd.</t>
  </si>
  <si>
    <t>INE233A01035</t>
  </si>
  <si>
    <t>HDFC Asset Management Company Ltd.</t>
  </si>
  <si>
    <t>INE127D01025</t>
  </si>
  <si>
    <t>The New India Assurance Company Ltd.</t>
  </si>
  <si>
    <t>INE470Y01017</t>
  </si>
  <si>
    <t>FSN E-Commerce Ventures Ltd.</t>
  </si>
  <si>
    <t>INE388Y01029</t>
  </si>
  <si>
    <t>One 97 Communications Ltd.</t>
  </si>
  <si>
    <t>INE982J01020</t>
  </si>
  <si>
    <t>Data Patterns (India) Ltd.</t>
  </si>
  <si>
    <t>INE0IX101010</t>
  </si>
  <si>
    <t>Metro Brands Ltd.</t>
  </si>
  <si>
    <t>INE317I01021</t>
  </si>
  <si>
    <t>MTAR Technologies Ltd.</t>
  </si>
  <si>
    <t>INE864I01014</t>
  </si>
  <si>
    <t>Go Fashion (India) Ltd.</t>
  </si>
  <si>
    <t>INE0BJS01011</t>
  </si>
  <si>
    <t>Tarsons Products Ltd.</t>
  </si>
  <si>
    <t>INE144Z01023</t>
  </si>
  <si>
    <t>Healthcare Equipment &amp; Supplies</t>
  </si>
  <si>
    <t>C.E. Info Systems Ltd.</t>
  </si>
  <si>
    <t>INE0BV301023</t>
  </si>
  <si>
    <t>Latent View Analytics Ltd.</t>
  </si>
  <si>
    <t>INE0I7C01011</t>
  </si>
  <si>
    <t>Krishna Inst of Medical Sciences Ltd.</t>
  </si>
  <si>
    <t>INE967H01017</t>
  </si>
  <si>
    <t>Aptus Value Housing Finance India Ltd.</t>
  </si>
  <si>
    <t>INE852O01025</t>
  </si>
  <si>
    <t>Ami Organics Ltd.</t>
  </si>
  <si>
    <t>INE00FF01017</t>
  </si>
  <si>
    <t>Nuvoco Vistas Corporation Ltd.</t>
  </si>
  <si>
    <t>INE118D01016</t>
  </si>
  <si>
    <t>G R Infraprojects Ltd.</t>
  </si>
  <si>
    <t>INE201P01022</t>
  </si>
  <si>
    <t>Rossari Biotech Ltd.</t>
  </si>
  <si>
    <t>INE02A801020</t>
  </si>
  <si>
    <t>Indigo Paints Ltd.</t>
  </si>
  <si>
    <t>INE09VQ01012</t>
  </si>
  <si>
    <t>RailTel Corporation of India Ltd.</t>
  </si>
  <si>
    <t>INE0DD101019</t>
  </si>
  <si>
    <t>Medplus Health Services Ltd.</t>
  </si>
  <si>
    <t>INE804L01022</t>
  </si>
  <si>
    <t>Aether Industries Ltd.</t>
  </si>
  <si>
    <t>INE0BWX01014</t>
  </si>
  <si>
    <t>Syrma Sgs Technology Ltd.</t>
  </si>
  <si>
    <t>INE0DYJ01015</t>
  </si>
  <si>
    <t>Home First Finance Company India Ltd.</t>
  </si>
  <si>
    <t>INE481N01025</t>
  </si>
  <si>
    <t>Craftsman Automation Ltd.</t>
  </si>
  <si>
    <t>INE00LO01017</t>
  </si>
  <si>
    <t>Vijaya Diagnostic Centre Ltd.</t>
  </si>
  <si>
    <t>INE043W01024</t>
  </si>
  <si>
    <t>Aditya Birla Sun Life AMC Ltd.</t>
  </si>
  <si>
    <t>INE404A01024</t>
  </si>
  <si>
    <t>Dodla Dairy Ltd.</t>
  </si>
  <si>
    <t>INE021O01019</t>
  </si>
  <si>
    <t>Campus Activewear Ltd.</t>
  </si>
  <si>
    <t>INE278Y01022</t>
  </si>
  <si>
    <t>TCNS Clothing Company Ltd.</t>
  </si>
  <si>
    <t>INE778U01029</t>
  </si>
  <si>
    <t>Restaurant Brands Asia Ltd.</t>
  </si>
  <si>
    <t>INE07T201019</t>
  </si>
  <si>
    <t>Krsnaa Diagnostics Ltd.</t>
  </si>
  <si>
    <t>INE08LI01020</t>
  </si>
  <si>
    <t>Polycab India Ltd.24/11/2022</t>
  </si>
  <si>
    <t>SBI Cards &amp; Payment Services Ltd.24/11/2022</t>
  </si>
  <si>
    <t>EID Parry India Ltd.</t>
  </si>
  <si>
    <t>INE126A01031</t>
  </si>
  <si>
    <t>Mahindra &amp; Mahindra Financial Services Ltd24/11/2022</t>
  </si>
  <si>
    <t>EDELWEISS-NIFTY 50-INDEX FUND</t>
  </si>
  <si>
    <t>INF754K01NB3</t>
  </si>
  <si>
    <t>ADITYA BIRLA SUNLIFE SILVER ETF</t>
  </si>
  <si>
    <t>INF209KB19F6</t>
  </si>
  <si>
    <t>ICICI PRUDENTIAL GOLD ETF</t>
  </si>
  <si>
    <t>INF109KC1NT3</t>
  </si>
  <si>
    <t>IDFC FIRST BANK LTD. CD RED 23-01-2023#**</t>
  </si>
  <si>
    <t>INE092T16TC3</t>
  </si>
  <si>
    <t>INE040A16DC6</t>
  </si>
  <si>
    <t>PUNJAB NATIONAL BANK CD RED 30-11-2022#**</t>
  </si>
  <si>
    <t>INE160A16MP5</t>
  </si>
  <si>
    <t>UNION BANK OF INDIA CD 20-01-23#**</t>
  </si>
  <si>
    <t>INE692A16FN6</t>
  </si>
  <si>
    <t>AXIS BANK LTD CD RED 09-11-2022#**</t>
  </si>
  <si>
    <t>INE238A162Y4</t>
  </si>
  <si>
    <t>INE160A16MN0</t>
  </si>
  <si>
    <t>INE476A16TO3</t>
  </si>
  <si>
    <t>INE929O14776</t>
  </si>
  <si>
    <t>INE296A14TL6</t>
  </si>
  <si>
    <t>INE001A14YY3</t>
  </si>
  <si>
    <t>INE018A14IY0</t>
  </si>
  <si>
    <t>INE018A14IW4</t>
  </si>
  <si>
    <t>INE763G14NH3</t>
  </si>
  <si>
    <t>INE261F14JD7</t>
  </si>
  <si>
    <t>INE110L14RA3</t>
  </si>
  <si>
    <t>INE001A14ZP8</t>
  </si>
  <si>
    <t>INE763G14MY0</t>
  </si>
  <si>
    <t>INE233A14VW2</t>
  </si>
  <si>
    <t>INE514E14QP1</t>
  </si>
  <si>
    <t>INE514E14QQ9</t>
  </si>
  <si>
    <t>INE929O14826</t>
  </si>
  <si>
    <t>INE514E14QN6</t>
  </si>
  <si>
    <t>INE296A14TV5</t>
  </si>
  <si>
    <t>INDUMMY31101</t>
  </si>
  <si>
    <t>Foreign Securities and/or Overseas ETFs</t>
  </si>
  <si>
    <t>International  Mutual Fund Units</t>
  </si>
  <si>
    <t>JPM ASEAN EQUITY-I ACC USD</t>
  </si>
  <si>
    <t>LU0441852299</t>
  </si>
  <si>
    <t>JPM GREATER CHINA-I-I2 USD</t>
  </si>
  <si>
    <t>LU1727356906</t>
  </si>
  <si>
    <t>JOHNSON &amp; JOHNSON</t>
  </si>
  <si>
    <t>US4781601046</t>
  </si>
  <si>
    <t>Pharmaceuticals</t>
  </si>
  <si>
    <t>ELI LILLY &amp; CO</t>
  </si>
  <si>
    <t>US5324571083</t>
  </si>
  <si>
    <t>PFIZER INC</t>
  </si>
  <si>
    <t>US7170811035</t>
  </si>
  <si>
    <t>ABBVIE INC</t>
  </si>
  <si>
    <t>US00287Y1091</t>
  </si>
  <si>
    <t>Biotechnology</t>
  </si>
  <si>
    <t>MERCK &amp; CO.INC</t>
  </si>
  <si>
    <t>US58933Y1055</t>
  </si>
  <si>
    <t>THERMO FISHER SCIENTIFIC INC</t>
  </si>
  <si>
    <t>US8835561023</t>
  </si>
  <si>
    <t>Life Sciences Tools &amp; Services</t>
  </si>
  <si>
    <t>NOVARTIS AG</t>
  </si>
  <si>
    <t>US66987V1098</t>
  </si>
  <si>
    <t>DANAHER CORP</t>
  </si>
  <si>
    <t>US2358511028</t>
  </si>
  <si>
    <t>Health Care Equipment &amp; Supplies</t>
  </si>
  <si>
    <t>ABBOTT LABORATORIES</t>
  </si>
  <si>
    <t>US0028241000</t>
  </si>
  <si>
    <t>AMGEN INC</t>
  </si>
  <si>
    <t>US0311621009</t>
  </si>
  <si>
    <t>MEDTRONIC PLC</t>
  </si>
  <si>
    <t>IE00BTN1Y115</t>
  </si>
  <si>
    <t>GILEAD SCIENCES INC</t>
  </si>
  <si>
    <t>US3755581036</t>
  </si>
  <si>
    <t>INTUITIVE SURGICAL INC</t>
  </si>
  <si>
    <t>US46120E6023</t>
  </si>
  <si>
    <t>VERTEX PHARMACEUTICALS INC</t>
  </si>
  <si>
    <t>US92532F1003</t>
  </si>
  <si>
    <t>Narayana Hrudayalaya ltd.</t>
  </si>
  <si>
    <t>INE410P01011</t>
  </si>
  <si>
    <t>STRYKER CORP</t>
  </si>
  <si>
    <t>US8636671013</t>
  </si>
  <si>
    <t>BECTON DICKINSON AND CO</t>
  </si>
  <si>
    <t>US0758871091</t>
  </si>
  <si>
    <t>MODERNA INC</t>
  </si>
  <si>
    <t>US60770K1079</t>
  </si>
  <si>
    <t>PHARMACEUTICALS</t>
  </si>
  <si>
    <t>AGILENT TECHNOLOGIES INC</t>
  </si>
  <si>
    <t>US00846U1016</t>
  </si>
  <si>
    <t>IQVIA HOLDINGS INC</t>
  </si>
  <si>
    <t>US46266C1053</t>
  </si>
  <si>
    <t>ILLUMINA INC</t>
  </si>
  <si>
    <t>US4523271090</t>
  </si>
  <si>
    <t>JPMORGAN F-EUROPE DYNAM-I-A</t>
  </si>
  <si>
    <t>LU0248045857</t>
  </si>
  <si>
    <t>JPMORGAN ASSET MGM - EMG MKT OPPS I USD</t>
  </si>
  <si>
    <t>LU0431993749</t>
  </si>
  <si>
    <t>JPMORGAN F-JPM US VALUE-I AC</t>
  </si>
  <si>
    <t>LU0248060658</t>
  </si>
  <si>
    <t>JPMORGAN F-US TECHNOLOGY-I A</t>
  </si>
  <si>
    <t>LU0248060906</t>
  </si>
  <si>
    <t>Notes:</t>
  </si>
  <si>
    <t>1. Security in default beyond its maturiy date</t>
  </si>
  <si>
    <t>2. NAV at the beginning of the period (Rs. per unit)</t>
  </si>
  <si>
    <t>Plan /option (Face Value 10)</t>
  </si>
  <si>
    <t>As on</t>
  </si>
  <si>
    <t>Direct Plan Annual IDCW Option</t>
  </si>
  <si>
    <t>Direct Plan Bonus Option</t>
  </si>
  <si>
    <t>^</t>
  </si>
  <si>
    <t>Direct Plan Growth Option</t>
  </si>
  <si>
    <t>Direct Plan IDCW Option</t>
  </si>
  <si>
    <t>Institutional Annual IDCW Option</t>
  </si>
  <si>
    <t>Institutional Growth Option</t>
  </si>
  <si>
    <t>Institutional IDCW Option</t>
  </si>
  <si>
    <t>Regular Plan - Annual IDCW Option</t>
  </si>
  <si>
    <t>Regular Plan - Bonus Option</t>
  </si>
  <si>
    <t>Regular Plan - Growth</t>
  </si>
  <si>
    <t>Regular Plan - IDCW Option</t>
  </si>
  <si>
    <t>Regular Plan Bonus Option</t>
  </si>
  <si>
    <t>^ There were no investors in this option.</t>
  </si>
  <si>
    <t xml:space="preserve">3. Total Dividend (Net) declared during the month </t>
  </si>
  <si>
    <t>4. Bonus was declared during the month</t>
  </si>
  <si>
    <t>5. Investment in Repo of Corporate Debt Securities during the month ended October 31, 2022</t>
  </si>
  <si>
    <t>6. Investment in foreign securities/ADRs/GDRs at the end of the month</t>
  </si>
  <si>
    <t>7. Average Portfolio Maturity</t>
  </si>
  <si>
    <t>8. Total gross exposure to derivative instruments (excluding reversed positions) at the end of the month (Rs. in Lakhs)</t>
  </si>
  <si>
    <t>9. Margin Deposits includes Margin money placed on derivatives other than margin money placed with bank</t>
  </si>
  <si>
    <t>Plan /option (Face Value 1000)</t>
  </si>
  <si>
    <t>Growth Option</t>
  </si>
  <si>
    <t>10. Value of investment made by other schemes under same management (Rs. In Lakhs)</t>
  </si>
  <si>
    <t>Direct Plan Fortnightly IDCW Option</t>
  </si>
  <si>
    <t>Direct Plan Monthly IDCW Option</t>
  </si>
  <si>
    <t>Direct Plan Weekly IDCW Option</t>
  </si>
  <si>
    <t>Regular Plan Fortnightly IDCW Option</t>
  </si>
  <si>
    <t>Regular Plan Growth Option</t>
  </si>
  <si>
    <t>Regular Plan IDCW Option</t>
  </si>
  <si>
    <t>Regular Plan Monthly IDCW Option</t>
  </si>
  <si>
    <t>Regular Plan Weekly IDCW Option</t>
  </si>
  <si>
    <t>Direct Plan  Growth Option</t>
  </si>
  <si>
    <t>Regular Plan  Growth Option</t>
  </si>
  <si>
    <t>3. Total Dividend (Net) declared during the month</t>
  </si>
  <si>
    <t>Plan/Option Name</t>
  </si>
  <si>
    <t xml:space="preserve"> </t>
  </si>
  <si>
    <t>individual &amp; HUF</t>
  </si>
  <si>
    <t>others</t>
  </si>
  <si>
    <t>Direct Plan weekly IDCW</t>
  </si>
  <si>
    <t>Direct Plan Daily IDCW Option</t>
  </si>
  <si>
    <t>Regular Annual IDCW Option</t>
  </si>
  <si>
    <t>Regular Daily IDCW Option</t>
  </si>
  <si>
    <t>Unclaimed IDCW less than 3 yrs</t>
  </si>
  <si>
    <t>Unclaimed IDCW more than 3 yrs</t>
  </si>
  <si>
    <t>Unclaimed Redemption less than 3 yrs</t>
  </si>
  <si>
    <t>Unclaimed Redemption more than 3 yrs</t>
  </si>
  <si>
    <t>7. Portfolio Turnover Ratio</t>
  </si>
  <si>
    <t>Direct plan -Quarterly IDCW option</t>
  </si>
  <si>
    <t>Regular Plan -Quarterly IDCW option</t>
  </si>
  <si>
    <t>Plan B - Growth option</t>
  </si>
  <si>
    <t>Plan B - IDCW option</t>
  </si>
  <si>
    <t>Plan C - Growth option</t>
  </si>
  <si>
    <t>Plan C - IDCW option</t>
  </si>
  <si>
    <t>Regular Plan Annual IDCW</t>
  </si>
  <si>
    <t>Regular Plan Daily IDCW</t>
  </si>
  <si>
    <t>Regular Plan Fortnightly IDCW</t>
  </si>
  <si>
    <t>Regular Plan Growth</t>
  </si>
  <si>
    <t>Regular Plan IDCW</t>
  </si>
  <si>
    <t>Regular Plan Monthly IDCW</t>
  </si>
  <si>
    <t>Regular Plan Weekly IDCW</t>
  </si>
  <si>
    <t>Retail Annual IDCW Option</t>
  </si>
  <si>
    <t>Retail Bonus Option</t>
  </si>
  <si>
    <t>Retail Daily IDCW Option</t>
  </si>
  <si>
    <t>Retail Fortnightly IDCW Option</t>
  </si>
  <si>
    <t>Retail Growth Option</t>
  </si>
  <si>
    <t>Retail IDCW Option</t>
  </si>
  <si>
    <t>Retail Monthly IDCW Option</t>
  </si>
  <si>
    <t>Retail Weekly IDCW Option</t>
  </si>
  <si>
    <t>7. Total gross exposure to derivative instruments (excluding reversed positions) at the end of the month (Rs. in Lakhs)</t>
  </si>
  <si>
    <t>8. Margin Deposits includes Margin money placed on derivatives other than margin money placed with bank</t>
  </si>
  <si>
    <t>9. Total value and percentage of Illiquiid Equity shares &amp; Equity related instruments</t>
  </si>
  <si>
    <t>Fund Id</t>
  </si>
  <si>
    <t>Fund Desc</t>
  </si>
  <si>
    <t>EDELWEISS MUTUAL FUND</t>
  </si>
  <si>
    <t>PORTFOLIO STATEMENT as on 31 Oct 02022</t>
  </si>
  <si>
    <t>EDACBF</t>
  </si>
  <si>
    <t>EDBE23</t>
  </si>
  <si>
    <t>EDBE25</t>
  </si>
  <si>
    <t>EDBE30</t>
  </si>
  <si>
    <t>EDBE31</t>
  </si>
  <si>
    <t>EDBE32</t>
  </si>
  <si>
    <t>EDBPDF</t>
  </si>
  <si>
    <t>EDCG27</t>
  </si>
  <si>
    <t>EDCG37</t>
  </si>
  <si>
    <t>EDCPSF</t>
  </si>
  <si>
    <t>EDFF23</t>
  </si>
  <si>
    <t>EDFF25</t>
  </si>
  <si>
    <t>EDFF30</t>
  </si>
  <si>
    <t>EDFF31</t>
  </si>
  <si>
    <t>EDFF32</t>
  </si>
  <si>
    <t>EDGSEC</t>
  </si>
  <si>
    <t>EDNP27</t>
  </si>
  <si>
    <t>EDNPSF</t>
  </si>
  <si>
    <t>EDONTF</t>
  </si>
  <si>
    <t>EEARBF</t>
  </si>
  <si>
    <t>EEARFD</t>
  </si>
  <si>
    <t>EEDGEF</t>
  </si>
  <si>
    <t>EEECRF</t>
  </si>
  <si>
    <t>EEELSS</t>
  </si>
  <si>
    <t>EEEQTF</t>
  </si>
  <si>
    <t>EEESCF</t>
  </si>
  <si>
    <t>EEESSF</t>
  </si>
  <si>
    <t>EEFOCF</t>
  </si>
  <si>
    <t>EEIF30</t>
  </si>
  <si>
    <t>EEIF50</t>
  </si>
  <si>
    <t>EELMIF</t>
  </si>
  <si>
    <t>EEMOF1</t>
  </si>
  <si>
    <t>EENFBA</t>
  </si>
  <si>
    <t>EEPRUA</t>
  </si>
  <si>
    <t>EESMCF</t>
  </si>
  <si>
    <t>EGSFOF</t>
  </si>
  <si>
    <t>ELLIQF</t>
  </si>
  <si>
    <t>EOASEF</t>
  </si>
  <si>
    <t>EOCHIF</t>
  </si>
  <si>
    <t>EODWHF</t>
  </si>
  <si>
    <t>EOEDOF</t>
  </si>
  <si>
    <t>EOEMOP</t>
  </si>
  <si>
    <t>EOUSEF</t>
  </si>
  <si>
    <t>EOUSTF</t>
  </si>
  <si>
    <t>LIC HSG FIN CP RED 20-06-2023**</t>
  </si>
  <si>
    <t>HDFC LTD CP RED 25-07-2023**</t>
  </si>
  <si>
    <t>RELIANCE JIO INFO LTD CP 29-09-23**</t>
  </si>
  <si>
    <t>ADITYA BIRLA FIN LTD CP RED 18-11-2022**</t>
  </si>
  <si>
    <t>LARSEN &amp; TOUBRO LTD CP 29-12-22**</t>
  </si>
  <si>
    <t>RELIANCE RETAIL VENTU CP 05-12-22**</t>
  </si>
  <si>
    <t>BAJAJ FINANCE LTD CP RED 21-11-2022**</t>
  </si>
  <si>
    <t>HDFC LTD. CP RED 25-11-2022**</t>
  </si>
  <si>
    <t>LARSEN &amp; TOUBRO LTD CP RED 28-11-2022**</t>
  </si>
  <si>
    <t>LARSEN &amp; TOUBRO LTD CP RED 30-11-2022**</t>
  </si>
  <si>
    <t>ICICI SECURITIES CP RED 12-12-2022**</t>
  </si>
  <si>
    <t>NABARD CP RED 15-12-2022**</t>
  </si>
  <si>
    <t>RELIANCE JIO INFO LTD CP RED 15-12-2022**</t>
  </si>
  <si>
    <t>HDFC LTD. CP RED 15-12-2022**</t>
  </si>
  <si>
    <t>ICICI SECURITIES CP RED 09-11-2022**</t>
  </si>
  <si>
    <t>GODREJ INDUSTRIES LTD CP RED 11-11-2022**</t>
  </si>
  <si>
    <t>EXIM BANK CP RED 05-12-2022**</t>
  </si>
  <si>
    <t>EXIM BANK CP RED 30-12-2022**</t>
  </si>
  <si>
    <t>RELIANCE RETAIL VENT CP RED 02-01-2023**</t>
  </si>
  <si>
    <t>EXIM BANK CP RED 06-01-2023**</t>
  </si>
  <si>
    <t>BAJAJ FINANCE LTD CP 13-01-2023**</t>
  </si>
  <si>
    <t>GODREJ AGROVET CP 27-01-23 VD0111**</t>
  </si>
  <si>
    <t>PUNJAB NATIONAL BNK CD R 25-11-22#</t>
  </si>
  <si>
    <t>HDFC BANK CD RED 10-11-2022#</t>
  </si>
  <si>
    <t>NABARD CD RED 08-02-2023#</t>
  </si>
  <si>
    <t>CANARA BANK CD RED 03-01-2023#</t>
  </si>
  <si>
    <t>Yes Bank Ltd.@</t>
  </si>
  <si>
    <r>
      <t>@ These equity shares are under lock-in of three years till March 12, 2023 pursuant to the Gazette notification (Reference no: G.S.R.174(E)) issued by Ministry of Finance on March 13, 2020, for Yes Bank Limited Reconstruction Scheme, 2020. Further, in accordance with AMFI guidance, these equity shares are valued at ZERO with effect from March 16,  2020. For any realisation beyond the carrying value shall be distributed to the set of investors existing the unit holders’ register /BENPOS as on March 13, 2020.</t>
    </r>
    <r>
      <rPr>
        <sz val="10"/>
        <color rgb="FF000000"/>
        <rFont val="Segoe UI"/>
        <family val="2"/>
      </rPr>
      <t xml:space="preserve"> </t>
    </r>
  </si>
  <si>
    <t xml:space="preserve">(c) Listed / Awaiting listing on International Stock Exchanges </t>
  </si>
  <si>
    <t>11. Number of instance of deviation In valuation of securities</t>
  </si>
  <si>
    <t>12. Total value and percentage of illiquid equity shares / securities</t>
  </si>
  <si>
    <t>9. Number of instance of deviation In valuation of securities</t>
  </si>
  <si>
    <t>10. Total value and percentage of illiquid equity shares / securities</t>
  </si>
  <si>
    <t>10. Number of instance of deviation In valuation of securities</t>
  </si>
  <si>
    <t>Direct Plan - IDCW</t>
  </si>
  <si>
    <t>Direct Plan Fortnightly IDCW</t>
  </si>
  <si>
    <t>Direct Plan Monthly IDCW</t>
  </si>
  <si>
    <t>Direct Daily IDCW</t>
  </si>
  <si>
    <t>Direct Monthly IDCW</t>
  </si>
  <si>
    <t>Regular Daily IDCW</t>
  </si>
  <si>
    <t>Regular Fortnightly IDCW</t>
  </si>
  <si>
    <t>Regular Monthly IDCW</t>
  </si>
  <si>
    <t>Regular Weekly IDCW</t>
  </si>
  <si>
    <t>Direct Plan – Monthly IDCW</t>
  </si>
  <si>
    <t>Regular Plan - Monthly IDCW</t>
  </si>
  <si>
    <t>Direct Plan IDCW</t>
  </si>
  <si>
    <t>Retail Plan Monthly IDCW</t>
  </si>
  <si>
    <t>Retail Plan Weekly IDCW</t>
  </si>
  <si>
    <t>Scheme Name</t>
  </si>
  <si>
    <t>Risk- O - Meter</t>
  </si>
  <si>
    <t>Benchmark of the Scheme</t>
  </si>
  <si>
    <t>Benchmark Risk-o-meter</t>
  </si>
  <si>
    <t>Edelweiss Money Market Fund</t>
  </si>
  <si>
    <t>NIFTY Money Market Index B-I (TIER-1)</t>
  </si>
  <si>
    <t>NIFTY Money Market
Index A-I (TIER-2)</t>
  </si>
  <si>
    <t>BHARAT Bond ETF - April 2023</t>
  </si>
  <si>
    <t>NIFTY BHARAT Bond Index - April 2023</t>
  </si>
  <si>
    <t>BHARAT Bond ETF - April 2025</t>
  </si>
  <si>
    <t>NIFTY BHARAT Bond Index - April 2025</t>
  </si>
  <si>
    <t>BHARAT Bond ETF - April 2030</t>
  </si>
  <si>
    <t>NIFTY BHARAT Bond Index - April 2030</t>
  </si>
  <si>
    <t>BHARAT Bond ETF - April 2031</t>
  </si>
  <si>
    <t>NIFTY BHARAT Bond Index - April 2031</t>
  </si>
  <si>
    <t>BHARAT Bond ETF - April 2032</t>
  </si>
  <si>
    <t>Nifty BHARAT Bond Index – April 2032</t>
  </si>
  <si>
    <t>Edelweiss Banking and PSU Debt Fund</t>
  </si>
  <si>
    <t>NIFTY Banking and PSU Debt Index (TIER - 1)</t>
  </si>
  <si>
    <t>Nifty Banking &amp; PSU Debt Index - A-III (TIER - 2)</t>
  </si>
  <si>
    <t>Edelweiss Nifty PSU Bond Plus SDL Apr2027 50 50 Index</t>
  </si>
  <si>
    <t>Nifty PSU Bond Plus SDL Apr 2027 50:50 Index</t>
  </si>
  <si>
    <t>Edelweiss CRL PSU PL SDL 50 50 Oct-25 FD</t>
  </si>
  <si>
    <t>CRISIL [IBX] 50:50 PSU + SDL Index - October 2025</t>
  </si>
  <si>
    <t>BHARAT Bond FOF - April 2023</t>
  </si>
  <si>
    <t>BHARAT Bond FOF - April 2025</t>
  </si>
  <si>
    <t>Nifty BHARAT Bond Index – April 2025</t>
  </si>
  <si>
    <t>BHARAT Bond FOF - April 2030</t>
  </si>
  <si>
    <t>BHARAT Bond FOF - April 2031</t>
  </si>
  <si>
    <t>BHARAT Bond FOF - April 2032</t>
  </si>
  <si>
    <t>Edelweiss Government Securities Fund</t>
  </si>
  <si>
    <t>NIFTY All Duration G-Sec Index (TIER - 1)</t>
  </si>
  <si>
    <t>Nifty G -Sec Index A -III (TIER - 2)</t>
  </si>
  <si>
    <t>Edelweiss Nifty PSU Bond Plus SDL Apr2026 50 50 Index Fund</t>
  </si>
  <si>
    <t>Nifty PSU Bond Plus SDL Apr 2026 50:50 Index</t>
  </si>
  <si>
    <t>EDELWEISS OVERNIGHT FUND</t>
  </si>
  <si>
    <t>NIFTY 1D Rate Index</t>
  </si>
  <si>
    <t>Edelweiss Arbitrage Fund</t>
  </si>
  <si>
    <t>Edelweiss Balanced Advantage Fund</t>
  </si>
  <si>
    <t>Edelweiss Large Cap Fund</t>
  </si>
  <si>
    <t>Edelweiss Flexi-Cap Fund</t>
  </si>
  <si>
    <t>Nifty 500 Total Return Index</t>
  </si>
  <si>
    <t>Edelweiss Long Term Equity Fund</t>
  </si>
  <si>
    <t>Edelweiss Large &amp; Mid Cap Fund</t>
  </si>
  <si>
    <t>Nifty Large Midcap 250 Index - Total Return Index</t>
  </si>
  <si>
    <t>Edelweiss Small Cap Fund</t>
  </si>
  <si>
    <t>Nifty Smallcap 250 TR Index</t>
  </si>
  <si>
    <t>Edelweiss Equity Savings Fund</t>
  </si>
  <si>
    <t>NIFTY Equity Savings Index</t>
  </si>
  <si>
    <t>Edelweiss Focused Equity Fund</t>
  </si>
  <si>
    <t>NIFTY 500 Total Return Index</t>
  </si>
  <si>
    <t>Edelweiss Nifty 100 Quality 30 Index Fnd</t>
  </si>
  <si>
    <t>Edelweiss Nifty 50 Index Fund</t>
  </si>
  <si>
    <t>Edelweiss NIFTY Large Mid Cap 250 Index Fund</t>
  </si>
  <si>
    <t>EDELWEISS RECENTLY LISTED IPO FUND</t>
  </si>
  <si>
    <t>Edelweiss ETF - Nifty Bank</t>
  </si>
  <si>
    <t>Edelweiss Aggressive Hybrid Fund</t>
  </si>
  <si>
    <t>CRISIL Hybrid 35+65 - Aggressive Index</t>
  </si>
  <si>
    <t>Edelweiss Mid Cap Fund</t>
  </si>
  <si>
    <t>Edelweiss Gold and Silver ETF FOF</t>
  </si>
  <si>
    <t>LBMA Prices</t>
  </si>
  <si>
    <t>Edelweiss Liquid Fund</t>
  </si>
  <si>
    <t>NIFTY Liquid Index B-I (TIER-1)</t>
  </si>
  <si>
    <t>NIFTY Liquid Index  A-I (TIER-2)</t>
  </si>
  <si>
    <t>Edelweiss ASEAN Equity Off-shore Fund</t>
  </si>
  <si>
    <t>Edelweiss Greater China Equity Off-shore Fund</t>
  </si>
  <si>
    <t>MSCI Golden Dragon Index (Total Return Net)</t>
  </si>
  <si>
    <t>Edelweiss MSCI (I) DM &amp; WD HC 45 ID Fund</t>
  </si>
  <si>
    <t>MSCI India Domestic &amp; World Healthcare 45 Index           </t>
  </si>
  <si>
    <t>Edelweiss Europe Dynamic Equity Offshore Fund</t>
  </si>
  <si>
    <t>MSCI Europe Index (Total Return Net)</t>
  </si>
  <si>
    <t>Edelweiss Emerging Markets Opportunities Equity Offshore Fund</t>
  </si>
  <si>
    <t>MSCI Emerging Market Index</t>
  </si>
  <si>
    <t>Edelweiss US Value Equity Off-shore Fund</t>
  </si>
  <si>
    <t>Russell 1000 Value Index</t>
  </si>
  <si>
    <t>EDELWEISS US TECHNOLOGY EQUITY FOF</t>
  </si>
  <si>
    <t>Russell 1000 Equal Weighted Technology Index</t>
  </si>
  <si>
    <t>Nifty 50 Arbitrage PR Index</t>
  </si>
  <si>
    <t>NIFTY 50 Hybrid
Composite debt 50:50
Index</t>
  </si>
  <si>
    <t>Nifty 100 TRI</t>
  </si>
  <si>
    <t>Nifty 100 Quality 30 TRI</t>
  </si>
  <si>
    <t>Nifty 50 TRI</t>
  </si>
  <si>
    <t>NIFTY LargeMidcap 250 Index Total Return Index</t>
  </si>
  <si>
    <t>India Recent 100 IPO Index TRI</t>
  </si>
  <si>
    <t>Nifty Bank TRI</t>
  </si>
  <si>
    <t>Nifty Midcap 150 Total Return Index</t>
  </si>
  <si>
    <t>MSCI AC ASEAN 10/40 Index (Total Return Net)</t>
  </si>
  <si>
    <t>CRISIL IBX 50:50 Gilt Plus SDL Index – April 2037</t>
  </si>
  <si>
    <t>(CRISIL IBX 50:50 Gilt Plus SDL Index – June 2027</t>
  </si>
  <si>
    <t>Scheme Risk- O - 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</si>
</sst>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0_);\(##,##0\)"/>
    <numFmt numFmtId="166" formatCode="#,##0.00_);\(##,##0.00\)"/>
    <numFmt numFmtId="167" formatCode="0.00%_);\(0.00%\)"/>
    <numFmt numFmtId="168" formatCode="mmmm\ dd\,\ yyyy"/>
    <numFmt numFmtId="169" formatCode="#,##0.000000"/>
  </numFmts>
  <fonts count="10" x14ac:knownFonts="1">
    <font>
      <sz val="11"/>
      <color theme="1"/>
      <name val="Calibri"/>
      <family val="2"/>
      <scheme val="minor"/>
    </font>
    <font>
      <b/>
      <sz val="14"/>
      <color theme="0"/>
      <name val="Calibri"/>
      <family val="2"/>
      <scheme val="minor"/>
    </font>
    <font>
      <b/>
      <sz val="9"/>
      <color theme="1" tint="4.9989318521683403E-2"/>
      <name val="Arial"/>
      <family val="2"/>
    </font>
    <font>
      <b/>
      <sz val="11"/>
      <color theme="1"/>
      <name val="Calibri"/>
      <family val="2"/>
      <scheme val="minor"/>
    </font>
    <font>
      <u/>
      <sz val="11"/>
      <color theme="10"/>
      <name val="Calibri"/>
      <family val="2"/>
      <scheme val="minor"/>
    </font>
    <font>
      <sz val="11"/>
      <color theme="1"/>
      <name val="Calibri"/>
      <family val="2"/>
      <scheme val="minor"/>
    </font>
    <font>
      <sz val="12"/>
      <color theme="1"/>
      <name val="Times New Roman"/>
      <family val="1"/>
    </font>
    <font>
      <sz val="10"/>
      <color rgb="FF000000"/>
      <name val="Segoe UI"/>
      <family val="2"/>
    </font>
    <font>
      <u/>
      <sz val="11"/>
      <name val="Calibri"/>
      <family val="2"/>
      <scheme val="minor"/>
    </font>
    <font>
      <sz val="11"/>
      <color theme="1"/>
      <name val="Calibri"/>
      <family val="2"/>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style="thin">
        <color auto="1"/>
      </bottom>
      <diagonal/>
    </border>
  </borders>
  <cellStyleXfs count="3">
    <xf numFmtId="0" fontId="0" fillId="0" borderId="0"/>
    <xf numFmtId="0" fontId="4" fillId="0" borderId="0" applyNumberFormat="0" applyFill="0" applyBorder="0" applyAlignment="0" applyProtection="0"/>
    <xf numFmtId="0" fontId="5" fillId="0" borderId="0"/>
  </cellStyleXfs>
  <cellXfs count="414">
    <xf numFmtId="0" fontId="0" fillId="0" borderId="0" xfId="0"/>
    <xf numFmtId="0" fontId="3" fillId="0" borderId="0" xfId="0" applyFont="1"/>
    <xf numFmtId="10" fontId="0" fillId="0" borderId="0" xfId="0" applyNumberFormat="1"/>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0" fontId="2" fillId="0" borderId="1" xfId="0" applyNumberFormat="1" applyFont="1" applyFill="1" applyBorder="1" applyAlignment="1">
      <alignment horizontal="center" vertical="center"/>
    </xf>
    <xf numFmtId="0" fontId="0" fillId="0" borderId="2" xfId="0" applyBorder="1"/>
    <xf numFmtId="165" fontId="0" fillId="0" borderId="2" xfId="0" applyNumberFormat="1" applyBorder="1"/>
    <xf numFmtId="166" fontId="0" fillId="0" borderId="2" xfId="0" applyNumberFormat="1" applyBorder="1"/>
    <xf numFmtId="167" fontId="0" fillId="0" borderId="2" xfId="0" applyNumberFormat="1" applyBorder="1"/>
    <xf numFmtId="10" fontId="0" fillId="0" borderId="2" xfId="0" applyNumberFormat="1" applyBorder="1"/>
    <xf numFmtId="0" fontId="0" fillId="0" borderId="3" xfId="0" applyBorder="1"/>
    <xf numFmtId="164" fontId="0" fillId="0" borderId="3" xfId="0" applyNumberFormat="1" applyBorder="1"/>
    <xf numFmtId="4" fontId="0" fillId="0" borderId="3" xfId="0" applyNumberFormat="1" applyBorder="1"/>
    <xf numFmtId="10" fontId="0" fillId="0" borderId="3" xfId="0" applyNumberFormat="1" applyBorder="1"/>
    <xf numFmtId="0" fontId="3" fillId="0" borderId="3" xfId="0" applyFont="1" applyBorder="1"/>
    <xf numFmtId="164" fontId="3" fillId="0" borderId="3" xfId="0" applyNumberFormat="1" applyFont="1" applyBorder="1"/>
    <xf numFmtId="4" fontId="3" fillId="0" borderId="4" xfId="0" applyNumberFormat="1" applyFont="1" applyBorder="1"/>
    <xf numFmtId="10" fontId="3" fillId="0" borderId="4" xfId="0" applyNumberFormat="1" applyFont="1" applyBorder="1"/>
    <xf numFmtId="10" fontId="3" fillId="0" borderId="3" xfId="0" applyNumberFormat="1" applyFont="1" applyBorder="1"/>
    <xf numFmtId="0" fontId="3" fillId="0" borderId="4" xfId="0" applyFont="1" applyBorder="1"/>
    <xf numFmtId="164" fontId="3" fillId="0" borderId="4" xfId="0" applyNumberFormat="1" applyFont="1" applyBorder="1"/>
    <xf numFmtId="166" fontId="0" fillId="0" borderId="3" xfId="0" applyNumberFormat="1" applyBorder="1"/>
    <xf numFmtId="167" fontId="0" fillId="0" borderId="3" xfId="0" applyNumberFormat="1" applyBorder="1"/>
    <xf numFmtId="0" fontId="3" fillId="0" borderId="5" xfId="0" applyFont="1" applyBorder="1"/>
    <xf numFmtId="164" fontId="3" fillId="0" borderId="5" xfId="0" applyNumberFormat="1" applyFont="1" applyBorder="1"/>
    <xf numFmtId="4" fontId="3" fillId="0" borderId="5" xfId="0" applyNumberFormat="1" applyFont="1" applyBorder="1"/>
    <xf numFmtId="10" fontId="3" fillId="0" borderId="5" xfId="0" applyNumberFormat="1" applyFont="1" applyBorder="1"/>
    <xf numFmtId="0" fontId="0" fillId="0" borderId="2" xfId="0" applyBorder="1" applyAlignment="1">
      <alignment horizontal="center"/>
    </xf>
    <xf numFmtId="0" fontId="0" fillId="0" borderId="3" xfId="0"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0" fillId="0" borderId="0" xfId="0" applyAlignment="1">
      <alignment horizontal="right"/>
    </xf>
    <xf numFmtId="4" fontId="0" fillId="0" borderId="4" xfId="0" applyNumberFormat="1" applyBorder="1" applyAlignment="1">
      <alignment horizontal="right"/>
    </xf>
    <xf numFmtId="10" fontId="0" fillId="0" borderId="4" xfId="0" applyNumberFormat="1" applyBorder="1" applyAlignment="1">
      <alignment horizontal="right"/>
    </xf>
    <xf numFmtId="4" fontId="3" fillId="0" borderId="6" xfId="0" applyNumberFormat="1" applyFont="1" applyBorder="1"/>
    <xf numFmtId="10" fontId="3" fillId="0" borderId="6" xfId="0" applyNumberFormat="1" applyFont="1" applyBorder="1"/>
    <xf numFmtId="4" fontId="0" fillId="0" borderId="6" xfId="0" applyNumberFormat="1" applyBorder="1" applyAlignment="1">
      <alignment horizontal="right"/>
    </xf>
    <xf numFmtId="10" fontId="0" fillId="0" borderId="6" xfId="0" applyNumberFormat="1" applyBorder="1" applyAlignment="1">
      <alignment horizontal="right"/>
    </xf>
    <xf numFmtId="165" fontId="0" fillId="0" borderId="3" xfId="0" applyNumberFormat="1" applyBorder="1"/>
    <xf numFmtId="166" fontId="3" fillId="0" borderId="6" xfId="0" applyNumberFormat="1" applyFont="1" applyBorder="1"/>
    <xf numFmtId="167" fontId="3" fillId="0" borderId="6" xfId="0" applyNumberFormat="1" applyFont="1" applyBorder="1"/>
    <xf numFmtId="166" fontId="3" fillId="0" borderId="4" xfId="0" applyNumberFormat="1" applyFont="1" applyBorder="1"/>
    <xf numFmtId="167" fontId="3" fillId="0" borderId="4" xfId="0" applyNumberFormat="1" applyFont="1" applyBorder="1"/>
    <xf numFmtId="4" fontId="3" fillId="0" borderId="3" xfId="0" applyNumberFormat="1" applyFont="1" applyBorder="1"/>
    <xf numFmtId="0" fontId="0" fillId="0" borderId="0" xfId="0" applyAlignment="1">
      <alignment wrapText="1"/>
    </xf>
    <xf numFmtId="168" fontId="3" fillId="0" borderId="0" xfId="0" applyNumberFormat="1" applyFont="1"/>
    <xf numFmtId="4" fontId="0" fillId="0" borderId="0" xfId="0" applyNumberFormat="1" applyAlignment="1">
      <alignment horizontal="right"/>
    </xf>
    <xf numFmtId="0" fontId="4" fillId="0" borderId="0" xfId="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10" fontId="0" fillId="0" borderId="3" xfId="0" applyNumberFormat="1" applyBorder="1"/>
    <xf numFmtId="10" fontId="3" fillId="0" borderId="3" xfId="0" applyNumberFormat="1" applyFont="1" applyBorder="1"/>
    <xf numFmtId="0" fontId="0" fillId="0" borderId="0" xfId="0"/>
    <xf numFmtId="0" fontId="0" fillId="0" borderId="3" xfId="0" applyBorder="1"/>
    <xf numFmtId="164" fontId="0" fillId="0" borderId="3" xfId="0" applyNumberFormat="1" applyBorder="1"/>
    <xf numFmtId="4" fontId="0" fillId="0" borderId="3" xfId="0" applyNumberFormat="1" applyBorder="1"/>
    <xf numFmtId="10" fontId="0" fillId="0" borderId="3" xfId="0" applyNumberFormat="1" applyBorder="1"/>
    <xf numFmtId="0" fontId="3" fillId="0" borderId="3" xfId="0" applyFont="1" applyBorder="1"/>
    <xf numFmtId="4" fontId="3" fillId="0" borderId="6" xfId="0" applyNumberFormat="1" applyFont="1" applyBorder="1"/>
    <xf numFmtId="10" fontId="3" fillId="0" borderId="6" xfId="0" applyNumberFormat="1" applyFont="1" applyBorder="1"/>
    <xf numFmtId="10" fontId="3" fillId="0" borderId="3" xfId="0" applyNumberFormat="1" applyFont="1" applyBorder="1"/>
    <xf numFmtId="0" fontId="0" fillId="0" borderId="3" xfId="0" applyBorder="1" applyAlignment="1">
      <alignment horizontal="center"/>
    </xf>
    <xf numFmtId="4" fontId="0" fillId="0" borderId="5" xfId="0" applyNumberFormat="1" applyBorder="1" applyAlignment="1">
      <alignment horizontal="right"/>
    </xf>
    <xf numFmtId="10" fontId="0" fillId="0" borderId="5" xfId="0" applyNumberFormat="1" applyBorder="1" applyAlignment="1">
      <alignment horizontal="right"/>
    </xf>
    <xf numFmtId="169" fontId="0" fillId="0" borderId="6" xfId="0" applyNumberFormat="1" applyBorder="1"/>
    <xf numFmtId="0" fontId="3" fillId="0" borderId="0" xfId="0" applyFont="1"/>
    <xf numFmtId="0" fontId="1" fillId="2" borderId="0" xfId="0" applyFont="1" applyFill="1" applyAlignment="1">
      <alignment horizontal="center" vertical="center" wrapText="1"/>
    </xf>
    <xf numFmtId="0" fontId="6" fillId="0" borderId="0" xfId="0" applyFont="1" applyBorder="1" applyAlignment="1">
      <alignment horizontal="lef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8" fillId="0" borderId="6" xfId="1" applyFont="1" applyFill="1"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8" fillId="0" borderId="6" xfId="1" applyFont="1" applyFill="1"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9" fillId="0" borderId="6" xfId="0" applyFont="1"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0" fillId="0" borderId="6" xfId="0" applyBorder="1"/>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horizontal="lef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xf numFmtId="0" fontId="4" fillId="0" borderId="0" xfId="1"/>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4" fillId="0" borderId="6" xfId="1" applyBorder="1"/>
    <xf numFmtId="0" fontId="3" fillId="0" borderId="6" xfId="0" applyFont="1" applyBorder="1" applyAlignment="1">
      <alignment vertical="top" wrapText="1"/>
    </xf>
    <xf numFmtId="0" fontId="3" fillId="0" borderId="6" xfId="0" applyFont="1" applyBorder="1" applyAlignment="1">
      <alignment vertical="top"/>
    </xf>
    <xf numFmtId="0" fontId="0" fillId="0" borderId="6" xfId="0" applyBorder="1" applyAlignment="1">
      <alignment vertical="top"/>
    </xf>
    <xf numFmtId="0" fontId="0" fillId="0" borderId="6" xfId="0" applyBorder="1" applyAlignment="1">
      <alignment vertical="top" wrapText="1"/>
    </xf>
    <xf numFmtId="0" fontId="8" fillId="0" borderId="6" xfId="1" applyFont="1" applyFill="1" applyBorder="1" applyAlignment="1">
      <alignment vertical="top"/>
    </xf>
    <xf numFmtId="0" fontId="0" fillId="0" borderId="6" xfId="0" applyBorder="1"/>
    <xf numFmtId="0" fontId="9" fillId="0" borderId="6" xfId="0" applyFont="1" applyBorder="1" applyAlignment="1">
      <alignment vertical="top" wrapText="1"/>
    </xf>
    <xf numFmtId="0" fontId="0" fillId="0" borderId="6" xfId="0" applyBorder="1" applyAlignment="1">
      <alignment horizontal="left" vertical="top" wrapText="1"/>
    </xf>
  </cellXfs>
  <cellStyles count="3">
    <cellStyle name="Hyperlink" xfId="1" builtinId="8"/>
    <cellStyle name="Normal" xfId="0" builtinId="0"/>
    <cellStyle name="Normal 2" xfId="2" xr:uid="{42D0967B-5278-4526-8E58-2FE31D72E08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7.png"/></Relationships>
</file>

<file path=xl/drawings/_rels/drawing26.xml.rels><?xml version="1.0" encoding="UTF-8" standalone="yes"?>
<Relationships xmlns="http://schemas.openxmlformats.org/package/2006/relationships"><Relationship Id="rId1" Type="http://schemas.openxmlformats.org/officeDocument/2006/relationships/image" Target="../media/image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png"/></Relationships>
</file>

<file path=xl/drawings/_rels/drawing3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7.png"/></Relationships>
</file>

<file path=xl/drawings/_rels/drawing3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7.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7.png"/></Relationships>
</file>

<file path=xl/drawings/_rels/drawing3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7.png"/></Relationships>
</file>

<file path=xl/drawings/_rels/drawing40.xml.rels><?xml version="1.0" encoding="UTF-8" standalone="yes"?>
<Relationships xmlns="http://schemas.openxmlformats.org/package/2006/relationships"><Relationship Id="rId1" Type="http://schemas.openxmlformats.org/officeDocument/2006/relationships/image" Target="../media/image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7.png"/></Relationships>
</file>

<file path=xl/drawings/_rels/drawing42.xml.rels><?xml version="1.0" encoding="UTF-8" standalone="yes"?>
<Relationships xmlns="http://schemas.openxmlformats.org/package/2006/relationships"><Relationship Id="rId1" Type="http://schemas.openxmlformats.org/officeDocument/2006/relationships/image" Target="../media/image7.png"/></Relationships>
</file>

<file path=xl/drawings/_rels/drawing4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4.xml.rels><?xml version="1.0" encoding="UTF-8" standalone="yes"?>
<Relationships xmlns="http://schemas.openxmlformats.org/package/2006/relationships"><Relationship Id="rId1" Type="http://schemas.openxmlformats.org/officeDocument/2006/relationships/image" Target="../media/image7.png"/></Relationships>
</file>

<file path=xl/drawings/_rels/drawing4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83155</xdr:colOff>
      <xdr:row>3</xdr:row>
      <xdr:rowOff>75595</xdr:rowOff>
    </xdr:from>
    <xdr:to>
      <xdr:col>2</xdr:col>
      <xdr:colOff>1303094</xdr:colOff>
      <xdr:row>3</xdr:row>
      <xdr:rowOff>1117600</xdr:rowOff>
    </xdr:to>
    <xdr:pic>
      <xdr:nvPicPr>
        <xdr:cNvPr id="2" name="Picture 1">
          <a:extLst>
            <a:ext uri="{FF2B5EF4-FFF2-40B4-BE49-F238E27FC236}">
              <a16:creationId xmlns:a16="http://schemas.microsoft.com/office/drawing/2014/main" id="{3A2F86EA-43BB-4A1C-A494-DA90B67D6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7205" y="628045"/>
          <a:ext cx="1219939" cy="1042005"/>
        </a:xfrm>
        <a:prstGeom prst="rect">
          <a:avLst/>
        </a:prstGeom>
        <a:noFill/>
        <a:ln>
          <a:noFill/>
        </a:ln>
      </xdr:spPr>
    </xdr:pic>
    <xdr:clientData/>
  </xdr:twoCellAnchor>
  <xdr:twoCellAnchor editAs="oneCell">
    <xdr:from>
      <xdr:col>4</xdr:col>
      <xdr:colOff>240999</xdr:colOff>
      <xdr:row>3</xdr:row>
      <xdr:rowOff>32052</xdr:rowOff>
    </xdr:from>
    <xdr:to>
      <xdr:col>4</xdr:col>
      <xdr:colOff>1346201</xdr:colOff>
      <xdr:row>3</xdr:row>
      <xdr:rowOff>1095769</xdr:rowOff>
    </xdr:to>
    <xdr:pic>
      <xdr:nvPicPr>
        <xdr:cNvPr id="3" name="Picture 2">
          <a:extLst>
            <a:ext uri="{FF2B5EF4-FFF2-40B4-BE49-F238E27FC236}">
              <a16:creationId xmlns:a16="http://schemas.microsoft.com/office/drawing/2014/main" id="{FADE0E78-9C7D-4131-8360-D640DD2645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33999" y="584502"/>
          <a:ext cx="1105202" cy="1063717"/>
        </a:xfrm>
        <a:prstGeom prst="rect">
          <a:avLst/>
        </a:prstGeom>
        <a:noFill/>
        <a:ln>
          <a:noFill/>
        </a:ln>
      </xdr:spPr>
    </xdr:pic>
    <xdr:clientData/>
  </xdr:twoCellAnchor>
  <xdr:twoCellAnchor editAs="oneCell">
    <xdr:from>
      <xdr:col>6</xdr:col>
      <xdr:colOff>102345</xdr:colOff>
      <xdr:row>3</xdr:row>
      <xdr:rowOff>11630</xdr:rowOff>
    </xdr:from>
    <xdr:to>
      <xdr:col>6</xdr:col>
      <xdr:colOff>1270000</xdr:colOff>
      <xdr:row>3</xdr:row>
      <xdr:rowOff>1127218</xdr:rowOff>
    </xdr:to>
    <xdr:pic>
      <xdr:nvPicPr>
        <xdr:cNvPr id="4" name="Picture 3">
          <a:extLst>
            <a:ext uri="{FF2B5EF4-FFF2-40B4-BE49-F238E27FC236}">
              <a16:creationId xmlns:a16="http://schemas.microsoft.com/office/drawing/2014/main" id="{EE097F54-51F0-47E0-BCB7-FF0EABCC4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34524" y="573361"/>
          <a:ext cx="1167655" cy="1115588"/>
        </a:xfrm>
        <a:prstGeom prst="rect">
          <a:avLst/>
        </a:prstGeom>
        <a:noFill/>
        <a:ln>
          <a:noFill/>
        </a:ln>
      </xdr:spPr>
    </xdr:pic>
    <xdr:clientData/>
  </xdr:twoCellAnchor>
  <xdr:twoCellAnchor editAs="oneCell">
    <xdr:from>
      <xdr:col>2</xdr:col>
      <xdr:colOff>16283</xdr:colOff>
      <xdr:row>4</xdr:row>
      <xdr:rowOff>130256</xdr:rowOff>
    </xdr:from>
    <xdr:to>
      <xdr:col>3</xdr:col>
      <xdr:colOff>2783</xdr:colOff>
      <xdr:row>4</xdr:row>
      <xdr:rowOff>1147884</xdr:rowOff>
    </xdr:to>
    <xdr:pic>
      <xdr:nvPicPr>
        <xdr:cNvPr id="5" name="Picture 4">
          <a:extLst>
            <a:ext uri="{FF2B5EF4-FFF2-40B4-BE49-F238E27FC236}">
              <a16:creationId xmlns:a16="http://schemas.microsoft.com/office/drawing/2014/main" id="{889AB97D-1508-4B30-939E-9E6EB90B51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85706" y="1888718"/>
          <a:ext cx="1419321" cy="1017628"/>
        </a:xfrm>
        <a:prstGeom prst="rect">
          <a:avLst/>
        </a:prstGeom>
        <a:noFill/>
        <a:ln>
          <a:noFill/>
        </a:ln>
      </xdr:spPr>
    </xdr:pic>
    <xdr:clientData/>
  </xdr:twoCellAnchor>
  <xdr:oneCellAnchor>
    <xdr:from>
      <xdr:col>4</xdr:col>
      <xdr:colOff>51614</xdr:colOff>
      <xdr:row>4</xdr:row>
      <xdr:rowOff>199944</xdr:rowOff>
    </xdr:from>
    <xdr:ext cx="1454475" cy="891839"/>
    <xdr:pic>
      <xdr:nvPicPr>
        <xdr:cNvPr id="6" name="Picture 5">
          <a:extLst>
            <a:ext uri="{FF2B5EF4-FFF2-40B4-BE49-F238E27FC236}">
              <a16:creationId xmlns:a16="http://schemas.microsoft.com/office/drawing/2014/main" id="{B05C5142-7774-4529-A936-1C4019E2F1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57640" y="1958406"/>
          <a:ext cx="1454475" cy="891839"/>
        </a:xfrm>
        <a:prstGeom prst="rect">
          <a:avLst/>
        </a:prstGeom>
        <a:noFill/>
        <a:ln>
          <a:noFill/>
        </a:ln>
      </xdr:spPr>
    </xdr:pic>
    <xdr:clientData/>
  </xdr:oneCellAnchor>
  <xdr:twoCellAnchor editAs="oneCell">
    <xdr:from>
      <xdr:col>2</xdr:col>
      <xdr:colOff>0</xdr:colOff>
      <xdr:row>5</xdr:row>
      <xdr:rowOff>0</xdr:rowOff>
    </xdr:from>
    <xdr:to>
      <xdr:col>2</xdr:col>
      <xdr:colOff>1375833</xdr:colOff>
      <xdr:row>5</xdr:row>
      <xdr:rowOff>831850</xdr:rowOff>
    </xdr:to>
    <xdr:pic>
      <xdr:nvPicPr>
        <xdr:cNvPr id="7" name="Picture 6">
          <a:extLst>
            <a:ext uri="{FF2B5EF4-FFF2-40B4-BE49-F238E27FC236}">
              <a16:creationId xmlns:a16="http://schemas.microsoft.com/office/drawing/2014/main" id="{33122BF2-8216-4ED4-82F3-08E5646137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9423" y="2955192"/>
          <a:ext cx="1375833" cy="831850"/>
        </a:xfrm>
        <a:prstGeom prst="rect">
          <a:avLst/>
        </a:prstGeom>
        <a:noFill/>
        <a:ln>
          <a:noFill/>
        </a:ln>
      </xdr:spPr>
    </xdr:pic>
    <xdr:clientData/>
  </xdr:twoCellAnchor>
  <xdr:twoCellAnchor editAs="oneCell">
    <xdr:from>
      <xdr:col>4</xdr:col>
      <xdr:colOff>57151</xdr:colOff>
      <xdr:row>5</xdr:row>
      <xdr:rowOff>23127</xdr:rowOff>
    </xdr:from>
    <xdr:to>
      <xdr:col>4</xdr:col>
      <xdr:colOff>1504950</xdr:colOff>
      <xdr:row>5</xdr:row>
      <xdr:rowOff>814991</xdr:rowOff>
    </xdr:to>
    <xdr:pic>
      <xdr:nvPicPr>
        <xdr:cNvPr id="8" name="Picture 7">
          <a:extLst>
            <a:ext uri="{FF2B5EF4-FFF2-40B4-BE49-F238E27FC236}">
              <a16:creationId xmlns:a16="http://schemas.microsoft.com/office/drawing/2014/main" id="{2824262E-58E5-4FD9-AEB1-09B3DD6318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26301" y="21613127"/>
          <a:ext cx="1447799" cy="791864"/>
        </a:xfrm>
        <a:prstGeom prst="rect">
          <a:avLst/>
        </a:prstGeom>
        <a:noFill/>
        <a:ln>
          <a:noFill/>
        </a:ln>
      </xdr:spPr>
    </xdr:pic>
    <xdr:clientData/>
  </xdr:twoCellAnchor>
  <xdr:twoCellAnchor editAs="oneCell">
    <xdr:from>
      <xdr:col>2</xdr:col>
      <xdr:colOff>0</xdr:colOff>
      <xdr:row>6</xdr:row>
      <xdr:rowOff>0</xdr:rowOff>
    </xdr:from>
    <xdr:to>
      <xdr:col>2</xdr:col>
      <xdr:colOff>1416539</xdr:colOff>
      <xdr:row>6</xdr:row>
      <xdr:rowOff>730250</xdr:rowOff>
    </xdr:to>
    <xdr:pic>
      <xdr:nvPicPr>
        <xdr:cNvPr id="9" name="Picture 8">
          <a:extLst>
            <a:ext uri="{FF2B5EF4-FFF2-40B4-BE49-F238E27FC236}">
              <a16:creationId xmlns:a16="http://schemas.microsoft.com/office/drawing/2014/main" id="{AD07D4CE-CB1A-4328-9263-90844920AD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69423" y="4151923"/>
          <a:ext cx="1416539" cy="730250"/>
        </a:xfrm>
        <a:prstGeom prst="rect">
          <a:avLst/>
        </a:prstGeom>
        <a:noFill/>
        <a:ln>
          <a:noFill/>
        </a:ln>
      </xdr:spPr>
    </xdr:pic>
    <xdr:clientData/>
  </xdr:twoCellAnchor>
  <xdr:twoCellAnchor editAs="oneCell">
    <xdr:from>
      <xdr:col>4</xdr:col>
      <xdr:colOff>0</xdr:colOff>
      <xdr:row>6</xdr:row>
      <xdr:rowOff>0</xdr:rowOff>
    </xdr:from>
    <xdr:to>
      <xdr:col>4</xdr:col>
      <xdr:colOff>1499235</xdr:colOff>
      <xdr:row>6</xdr:row>
      <xdr:rowOff>736600</xdr:rowOff>
    </xdr:to>
    <xdr:pic>
      <xdr:nvPicPr>
        <xdr:cNvPr id="10" name="Picture 9">
          <a:extLst>
            <a:ext uri="{FF2B5EF4-FFF2-40B4-BE49-F238E27FC236}">
              <a16:creationId xmlns:a16="http://schemas.microsoft.com/office/drawing/2014/main" id="{1B00D9F3-977D-4308-9039-5753222212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92950" y="22694900"/>
          <a:ext cx="1499235" cy="736600"/>
        </a:xfrm>
        <a:prstGeom prst="rect">
          <a:avLst/>
        </a:prstGeom>
        <a:noFill/>
        <a:ln>
          <a:noFill/>
        </a:ln>
      </xdr:spPr>
    </xdr:pic>
    <xdr:clientData/>
  </xdr:twoCellAnchor>
  <xdr:twoCellAnchor editAs="oneCell">
    <xdr:from>
      <xdr:col>2</xdr:col>
      <xdr:colOff>1</xdr:colOff>
      <xdr:row>7</xdr:row>
      <xdr:rowOff>50800</xdr:rowOff>
    </xdr:from>
    <xdr:to>
      <xdr:col>2</xdr:col>
      <xdr:colOff>1367693</xdr:colOff>
      <xdr:row>7</xdr:row>
      <xdr:rowOff>1123950</xdr:rowOff>
    </xdr:to>
    <xdr:pic>
      <xdr:nvPicPr>
        <xdr:cNvPr id="11" name="Picture 10">
          <a:extLst>
            <a:ext uri="{FF2B5EF4-FFF2-40B4-BE49-F238E27FC236}">
              <a16:creationId xmlns:a16="http://schemas.microsoft.com/office/drawing/2014/main" id="{4D498AAC-E575-404F-B90E-EBD72329FA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69424" y="5399454"/>
          <a:ext cx="1367692" cy="1073150"/>
        </a:xfrm>
        <a:prstGeom prst="rect">
          <a:avLst/>
        </a:prstGeom>
        <a:noFill/>
        <a:ln>
          <a:noFill/>
        </a:ln>
      </xdr:spPr>
    </xdr:pic>
    <xdr:clientData/>
  </xdr:twoCellAnchor>
  <xdr:twoCellAnchor editAs="oneCell">
    <xdr:from>
      <xdr:col>4</xdr:col>
      <xdr:colOff>0</xdr:colOff>
      <xdr:row>7</xdr:row>
      <xdr:rowOff>31750</xdr:rowOff>
    </xdr:from>
    <xdr:to>
      <xdr:col>5</xdr:col>
      <xdr:colOff>303478</xdr:colOff>
      <xdr:row>7</xdr:row>
      <xdr:rowOff>1085850</xdr:rowOff>
    </xdr:to>
    <xdr:pic>
      <xdr:nvPicPr>
        <xdr:cNvPr id="12" name="Picture 11">
          <a:extLst>
            <a:ext uri="{FF2B5EF4-FFF2-40B4-BE49-F238E27FC236}">
              <a16:creationId xmlns:a16="http://schemas.microsoft.com/office/drawing/2014/main" id="{7428DD7E-111B-4835-8EBB-93409F03C9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31050" y="18307050"/>
          <a:ext cx="1827478" cy="1054100"/>
        </a:xfrm>
        <a:prstGeom prst="rect">
          <a:avLst/>
        </a:prstGeom>
        <a:noFill/>
        <a:ln>
          <a:noFill/>
        </a:ln>
      </xdr:spPr>
    </xdr:pic>
    <xdr:clientData/>
  </xdr:twoCellAnchor>
  <xdr:twoCellAnchor editAs="oneCell">
    <xdr:from>
      <xdr:col>2</xdr:col>
      <xdr:colOff>0</xdr:colOff>
      <xdr:row>8</xdr:row>
      <xdr:rowOff>0</xdr:rowOff>
    </xdr:from>
    <xdr:to>
      <xdr:col>2</xdr:col>
      <xdr:colOff>1375833</xdr:colOff>
      <xdr:row>8</xdr:row>
      <xdr:rowOff>774700</xdr:rowOff>
    </xdr:to>
    <xdr:pic>
      <xdr:nvPicPr>
        <xdr:cNvPr id="13" name="Picture 12">
          <a:extLst>
            <a:ext uri="{FF2B5EF4-FFF2-40B4-BE49-F238E27FC236}">
              <a16:creationId xmlns:a16="http://schemas.microsoft.com/office/drawing/2014/main" id="{0668F141-397A-4DE3-86F1-B0B272329B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69423" y="6545385"/>
          <a:ext cx="1375833" cy="774700"/>
        </a:xfrm>
        <a:prstGeom prst="rect">
          <a:avLst/>
        </a:prstGeom>
        <a:noFill/>
        <a:ln>
          <a:noFill/>
        </a:ln>
      </xdr:spPr>
    </xdr:pic>
    <xdr:clientData/>
  </xdr:twoCellAnchor>
  <xdr:twoCellAnchor editAs="oneCell">
    <xdr:from>
      <xdr:col>4</xdr:col>
      <xdr:colOff>0</xdr:colOff>
      <xdr:row>8</xdr:row>
      <xdr:rowOff>0</xdr:rowOff>
    </xdr:from>
    <xdr:to>
      <xdr:col>4</xdr:col>
      <xdr:colOff>1499235</xdr:colOff>
      <xdr:row>8</xdr:row>
      <xdr:rowOff>787400</xdr:rowOff>
    </xdr:to>
    <xdr:pic>
      <xdr:nvPicPr>
        <xdr:cNvPr id="14" name="Picture 13">
          <a:extLst>
            <a:ext uri="{FF2B5EF4-FFF2-40B4-BE49-F238E27FC236}">
              <a16:creationId xmlns:a16="http://schemas.microsoft.com/office/drawing/2014/main" id="{86A6C788-9A82-47A4-B5D4-5ED7ECD35D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54850" y="15881350"/>
          <a:ext cx="1499235" cy="787400"/>
        </a:xfrm>
        <a:prstGeom prst="rect">
          <a:avLst/>
        </a:prstGeom>
        <a:noFill/>
        <a:ln>
          <a:noFill/>
        </a:ln>
      </xdr:spPr>
    </xdr:pic>
    <xdr:clientData/>
  </xdr:twoCellAnchor>
  <xdr:twoCellAnchor editAs="oneCell">
    <xdr:from>
      <xdr:col>2</xdr:col>
      <xdr:colOff>0</xdr:colOff>
      <xdr:row>9</xdr:row>
      <xdr:rowOff>0</xdr:rowOff>
    </xdr:from>
    <xdr:to>
      <xdr:col>3</xdr:col>
      <xdr:colOff>0</xdr:colOff>
      <xdr:row>9</xdr:row>
      <xdr:rowOff>958850</xdr:rowOff>
    </xdr:to>
    <xdr:pic>
      <xdr:nvPicPr>
        <xdr:cNvPr id="15" name="Picture 14">
          <a:extLst>
            <a:ext uri="{FF2B5EF4-FFF2-40B4-BE49-F238E27FC236}">
              <a16:creationId xmlns:a16="http://schemas.microsoft.com/office/drawing/2014/main" id="{FE17F8D5-F3F6-401E-A206-AF974A3EB8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69423" y="7742115"/>
          <a:ext cx="1432821" cy="958850"/>
        </a:xfrm>
        <a:prstGeom prst="rect">
          <a:avLst/>
        </a:prstGeom>
        <a:noFill/>
        <a:ln>
          <a:noFill/>
        </a:ln>
      </xdr:spPr>
    </xdr:pic>
    <xdr:clientData/>
  </xdr:twoCellAnchor>
  <xdr:twoCellAnchor editAs="oneCell">
    <xdr:from>
      <xdr:col>4</xdr:col>
      <xdr:colOff>0</xdr:colOff>
      <xdr:row>9</xdr:row>
      <xdr:rowOff>0</xdr:rowOff>
    </xdr:from>
    <xdr:to>
      <xdr:col>4</xdr:col>
      <xdr:colOff>1499235</xdr:colOff>
      <xdr:row>9</xdr:row>
      <xdr:rowOff>958850</xdr:rowOff>
    </xdr:to>
    <xdr:pic>
      <xdr:nvPicPr>
        <xdr:cNvPr id="16" name="Picture 15">
          <a:extLst>
            <a:ext uri="{FF2B5EF4-FFF2-40B4-BE49-F238E27FC236}">
              <a16:creationId xmlns:a16="http://schemas.microsoft.com/office/drawing/2014/main" id="{7D40D366-8BA5-44CA-8FE2-C61C80060C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73900" y="20853400"/>
          <a:ext cx="1499235" cy="958850"/>
        </a:xfrm>
        <a:prstGeom prst="rect">
          <a:avLst/>
        </a:prstGeom>
        <a:noFill/>
        <a:ln>
          <a:noFill/>
        </a:ln>
      </xdr:spPr>
    </xdr:pic>
    <xdr:clientData/>
  </xdr:twoCellAnchor>
  <xdr:oneCellAnchor>
    <xdr:from>
      <xdr:col>6</xdr:col>
      <xdr:colOff>0</xdr:colOff>
      <xdr:row>9</xdr:row>
      <xdr:rowOff>0</xdr:rowOff>
    </xdr:from>
    <xdr:ext cx="1516380" cy="886460"/>
    <xdr:pic>
      <xdr:nvPicPr>
        <xdr:cNvPr id="17" name="Picture 16">
          <a:extLst>
            <a:ext uri="{FF2B5EF4-FFF2-40B4-BE49-F238E27FC236}">
              <a16:creationId xmlns:a16="http://schemas.microsoft.com/office/drawing/2014/main" id="{BDFE7CA3-6C33-4188-9E3E-F585F35079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709150" y="20853400"/>
          <a:ext cx="1516380" cy="886460"/>
        </a:xfrm>
        <a:prstGeom prst="rect">
          <a:avLst/>
        </a:prstGeom>
        <a:noFill/>
        <a:ln>
          <a:noFill/>
        </a:ln>
      </xdr:spPr>
    </xdr:pic>
    <xdr:clientData/>
  </xdr:oneCellAnchor>
  <xdr:twoCellAnchor editAs="oneCell">
    <xdr:from>
      <xdr:col>2</xdr:col>
      <xdr:colOff>0</xdr:colOff>
      <xdr:row>10</xdr:row>
      <xdr:rowOff>0</xdr:rowOff>
    </xdr:from>
    <xdr:to>
      <xdr:col>2</xdr:col>
      <xdr:colOff>1375833</xdr:colOff>
      <xdr:row>10</xdr:row>
      <xdr:rowOff>958850</xdr:rowOff>
    </xdr:to>
    <xdr:pic>
      <xdr:nvPicPr>
        <xdr:cNvPr id="18" name="Picture 17">
          <a:extLst>
            <a:ext uri="{FF2B5EF4-FFF2-40B4-BE49-F238E27FC236}">
              <a16:creationId xmlns:a16="http://schemas.microsoft.com/office/drawing/2014/main" id="{13E11044-9841-461B-BB15-C8579A5B90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69423" y="8938846"/>
          <a:ext cx="1375833" cy="958850"/>
        </a:xfrm>
        <a:prstGeom prst="rect">
          <a:avLst/>
        </a:prstGeom>
        <a:noFill/>
        <a:ln>
          <a:noFill/>
        </a:ln>
      </xdr:spPr>
    </xdr:pic>
    <xdr:clientData/>
  </xdr:twoCellAnchor>
  <xdr:twoCellAnchor editAs="oneCell">
    <xdr:from>
      <xdr:col>4</xdr:col>
      <xdr:colOff>0</xdr:colOff>
      <xdr:row>10</xdr:row>
      <xdr:rowOff>0</xdr:rowOff>
    </xdr:from>
    <xdr:to>
      <xdr:col>5</xdr:col>
      <xdr:colOff>113030</xdr:colOff>
      <xdr:row>10</xdr:row>
      <xdr:rowOff>958850</xdr:rowOff>
    </xdr:to>
    <xdr:pic>
      <xdr:nvPicPr>
        <xdr:cNvPr id="19" name="Picture 18">
          <a:extLst>
            <a:ext uri="{FF2B5EF4-FFF2-40B4-BE49-F238E27FC236}">
              <a16:creationId xmlns:a16="http://schemas.microsoft.com/office/drawing/2014/main" id="{8B55F7E2-A611-49DB-A1CB-747A4D2B33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31050" y="14592300"/>
          <a:ext cx="1637030" cy="958850"/>
        </a:xfrm>
        <a:prstGeom prst="rect">
          <a:avLst/>
        </a:prstGeom>
        <a:noFill/>
        <a:ln>
          <a:noFill/>
        </a:ln>
      </xdr:spPr>
    </xdr:pic>
    <xdr:clientData/>
  </xdr:twoCellAnchor>
  <xdr:twoCellAnchor editAs="oneCell">
    <xdr:from>
      <xdr:col>2</xdr:col>
      <xdr:colOff>1</xdr:colOff>
      <xdr:row>11</xdr:row>
      <xdr:rowOff>0</xdr:rowOff>
    </xdr:from>
    <xdr:to>
      <xdr:col>2</xdr:col>
      <xdr:colOff>1424681</xdr:colOff>
      <xdr:row>11</xdr:row>
      <xdr:rowOff>958850</xdr:rowOff>
    </xdr:to>
    <xdr:pic>
      <xdr:nvPicPr>
        <xdr:cNvPr id="20" name="Picture 19">
          <a:extLst>
            <a:ext uri="{FF2B5EF4-FFF2-40B4-BE49-F238E27FC236}">
              <a16:creationId xmlns:a16="http://schemas.microsoft.com/office/drawing/2014/main" id="{6BED23BB-CC45-4740-A221-7C326C1591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69424" y="10135577"/>
          <a:ext cx="1424680" cy="958850"/>
        </a:xfrm>
        <a:prstGeom prst="rect">
          <a:avLst/>
        </a:prstGeom>
        <a:noFill/>
        <a:ln>
          <a:noFill/>
        </a:ln>
      </xdr:spPr>
    </xdr:pic>
    <xdr:clientData/>
  </xdr:twoCellAnchor>
  <xdr:twoCellAnchor editAs="oneCell">
    <xdr:from>
      <xdr:col>4</xdr:col>
      <xdr:colOff>0</xdr:colOff>
      <xdr:row>11</xdr:row>
      <xdr:rowOff>0</xdr:rowOff>
    </xdr:from>
    <xdr:to>
      <xdr:col>5</xdr:col>
      <xdr:colOff>113030</xdr:colOff>
      <xdr:row>11</xdr:row>
      <xdr:rowOff>958850</xdr:rowOff>
    </xdr:to>
    <xdr:pic>
      <xdr:nvPicPr>
        <xdr:cNvPr id="21" name="Picture 20">
          <a:extLst>
            <a:ext uri="{FF2B5EF4-FFF2-40B4-BE49-F238E27FC236}">
              <a16:creationId xmlns:a16="http://schemas.microsoft.com/office/drawing/2014/main" id="{0AA8CD60-04C2-4BC3-968E-06F8926CAF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6450" y="13855700"/>
          <a:ext cx="1637030" cy="958850"/>
        </a:xfrm>
        <a:prstGeom prst="rect">
          <a:avLst/>
        </a:prstGeom>
        <a:noFill/>
        <a:ln>
          <a:noFill/>
        </a:ln>
      </xdr:spPr>
    </xdr:pic>
    <xdr:clientData/>
  </xdr:twoCellAnchor>
  <xdr:twoCellAnchor editAs="oneCell">
    <xdr:from>
      <xdr:col>2</xdr:col>
      <xdr:colOff>40705</xdr:colOff>
      <xdr:row>12</xdr:row>
      <xdr:rowOff>0</xdr:rowOff>
    </xdr:from>
    <xdr:to>
      <xdr:col>2</xdr:col>
      <xdr:colOff>1428115</xdr:colOff>
      <xdr:row>12</xdr:row>
      <xdr:rowOff>698500</xdr:rowOff>
    </xdr:to>
    <xdr:pic>
      <xdr:nvPicPr>
        <xdr:cNvPr id="22" name="Picture 21">
          <a:extLst>
            <a:ext uri="{FF2B5EF4-FFF2-40B4-BE49-F238E27FC236}">
              <a16:creationId xmlns:a16="http://schemas.microsoft.com/office/drawing/2014/main" id="{3499BC0F-536C-4B53-AA23-CBEB2BE5241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510128" y="11332308"/>
          <a:ext cx="1387410" cy="698500"/>
        </a:xfrm>
        <a:prstGeom prst="rect">
          <a:avLst/>
        </a:prstGeom>
        <a:noFill/>
        <a:ln>
          <a:noFill/>
        </a:ln>
      </xdr:spPr>
    </xdr:pic>
    <xdr:clientData/>
  </xdr:twoCellAnchor>
  <xdr:twoCellAnchor editAs="oneCell">
    <xdr:from>
      <xdr:col>4</xdr:col>
      <xdr:colOff>1</xdr:colOff>
      <xdr:row>12</xdr:row>
      <xdr:rowOff>0</xdr:rowOff>
    </xdr:from>
    <xdr:to>
      <xdr:col>5</xdr:col>
      <xdr:colOff>48913</xdr:colOff>
      <xdr:row>12</xdr:row>
      <xdr:rowOff>736600</xdr:rowOff>
    </xdr:to>
    <xdr:pic>
      <xdr:nvPicPr>
        <xdr:cNvPr id="23" name="Picture 22">
          <a:extLst>
            <a:ext uri="{FF2B5EF4-FFF2-40B4-BE49-F238E27FC236}">
              <a16:creationId xmlns:a16="http://schemas.microsoft.com/office/drawing/2014/main" id="{2A3AA435-E018-4B55-AE7D-B15508E433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19951" y="20485100"/>
          <a:ext cx="1572912" cy="736600"/>
        </a:xfrm>
        <a:prstGeom prst="rect">
          <a:avLst/>
        </a:prstGeom>
        <a:noFill/>
        <a:ln>
          <a:noFill/>
        </a:ln>
      </xdr:spPr>
    </xdr:pic>
    <xdr:clientData/>
  </xdr:twoCellAnchor>
  <xdr:oneCellAnchor>
    <xdr:from>
      <xdr:col>2</xdr:col>
      <xdr:colOff>0</xdr:colOff>
      <xdr:row>27</xdr:row>
      <xdr:rowOff>0</xdr:rowOff>
    </xdr:from>
    <xdr:ext cx="1367692" cy="868680"/>
    <xdr:pic>
      <xdr:nvPicPr>
        <xdr:cNvPr id="24" name="Picture 23">
          <a:extLst>
            <a:ext uri="{FF2B5EF4-FFF2-40B4-BE49-F238E27FC236}">
              <a16:creationId xmlns:a16="http://schemas.microsoft.com/office/drawing/2014/main" id="{31376DA2-4B86-45B3-BD4B-442CDBA19E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29283269"/>
          <a:ext cx="1367692" cy="868680"/>
        </a:xfrm>
        <a:prstGeom prst="rect">
          <a:avLst/>
        </a:prstGeom>
        <a:noFill/>
        <a:ln>
          <a:noFill/>
        </a:ln>
      </xdr:spPr>
    </xdr:pic>
    <xdr:clientData/>
  </xdr:oneCellAnchor>
  <xdr:oneCellAnchor>
    <xdr:from>
      <xdr:col>4</xdr:col>
      <xdr:colOff>0</xdr:colOff>
      <xdr:row>27</xdr:row>
      <xdr:rowOff>0</xdr:rowOff>
    </xdr:from>
    <xdr:ext cx="1485900" cy="868680"/>
    <xdr:pic>
      <xdr:nvPicPr>
        <xdr:cNvPr id="25" name="Picture 24">
          <a:extLst>
            <a:ext uri="{FF2B5EF4-FFF2-40B4-BE49-F238E27FC236}">
              <a16:creationId xmlns:a16="http://schemas.microsoft.com/office/drawing/2014/main" id="{E56F2838-0A3C-44C9-9ADC-527FA28CCD2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89750" y="23983950"/>
          <a:ext cx="1485900" cy="868680"/>
        </a:xfrm>
        <a:prstGeom prst="rect">
          <a:avLst/>
        </a:prstGeom>
        <a:noFill/>
        <a:ln>
          <a:noFill/>
        </a:ln>
      </xdr:spPr>
    </xdr:pic>
    <xdr:clientData/>
  </xdr:oneCellAnchor>
  <xdr:twoCellAnchor editAs="oneCell">
    <xdr:from>
      <xdr:col>2</xdr:col>
      <xdr:colOff>0</xdr:colOff>
      <xdr:row>13</xdr:row>
      <xdr:rowOff>0</xdr:rowOff>
    </xdr:from>
    <xdr:to>
      <xdr:col>2</xdr:col>
      <xdr:colOff>1367692</xdr:colOff>
      <xdr:row>13</xdr:row>
      <xdr:rowOff>895350</xdr:rowOff>
    </xdr:to>
    <xdr:pic>
      <xdr:nvPicPr>
        <xdr:cNvPr id="26" name="Picture 25">
          <a:extLst>
            <a:ext uri="{FF2B5EF4-FFF2-40B4-BE49-F238E27FC236}">
              <a16:creationId xmlns:a16="http://schemas.microsoft.com/office/drawing/2014/main" id="{E19AAED6-1BDD-4379-AFFA-A31D948058E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69423" y="12529038"/>
          <a:ext cx="1367692" cy="895350"/>
        </a:xfrm>
        <a:prstGeom prst="rect">
          <a:avLst/>
        </a:prstGeom>
        <a:noFill/>
        <a:ln>
          <a:noFill/>
        </a:ln>
      </xdr:spPr>
    </xdr:pic>
    <xdr:clientData/>
  </xdr:twoCellAnchor>
  <xdr:oneCellAnchor>
    <xdr:from>
      <xdr:col>4</xdr:col>
      <xdr:colOff>0</xdr:colOff>
      <xdr:row>13</xdr:row>
      <xdr:rowOff>0</xdr:rowOff>
    </xdr:from>
    <xdr:ext cx="1470660" cy="868679"/>
    <xdr:pic>
      <xdr:nvPicPr>
        <xdr:cNvPr id="27" name="Picture 26">
          <a:extLst>
            <a:ext uri="{FF2B5EF4-FFF2-40B4-BE49-F238E27FC236}">
              <a16:creationId xmlns:a16="http://schemas.microsoft.com/office/drawing/2014/main" id="{5E6EB7C8-7320-4C5F-9AC3-5AA8020E3D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023100" y="11830050"/>
          <a:ext cx="1470660" cy="868679"/>
        </a:xfrm>
        <a:prstGeom prst="rect">
          <a:avLst/>
        </a:prstGeom>
        <a:noFill/>
        <a:ln>
          <a:noFill/>
        </a:ln>
      </xdr:spPr>
    </xdr:pic>
    <xdr:clientData/>
  </xdr:oneCellAnchor>
  <xdr:twoCellAnchor editAs="oneCell">
    <xdr:from>
      <xdr:col>2</xdr:col>
      <xdr:colOff>0</xdr:colOff>
      <xdr:row>14</xdr:row>
      <xdr:rowOff>0</xdr:rowOff>
    </xdr:from>
    <xdr:to>
      <xdr:col>2</xdr:col>
      <xdr:colOff>1400256</xdr:colOff>
      <xdr:row>14</xdr:row>
      <xdr:rowOff>914400</xdr:rowOff>
    </xdr:to>
    <xdr:pic>
      <xdr:nvPicPr>
        <xdr:cNvPr id="28" name="Picture 27">
          <a:extLst>
            <a:ext uri="{FF2B5EF4-FFF2-40B4-BE49-F238E27FC236}">
              <a16:creationId xmlns:a16="http://schemas.microsoft.com/office/drawing/2014/main" id="{2ECCC1F9-DBB5-4D9B-A5D6-EAE53FC7B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9423" y="13725769"/>
          <a:ext cx="1400256" cy="914400"/>
        </a:xfrm>
        <a:prstGeom prst="rect">
          <a:avLst/>
        </a:prstGeom>
        <a:noFill/>
        <a:ln>
          <a:noFill/>
        </a:ln>
      </xdr:spPr>
    </xdr:pic>
    <xdr:clientData/>
  </xdr:twoCellAnchor>
  <xdr:twoCellAnchor editAs="oneCell">
    <xdr:from>
      <xdr:col>4</xdr:col>
      <xdr:colOff>0</xdr:colOff>
      <xdr:row>14</xdr:row>
      <xdr:rowOff>0</xdr:rowOff>
    </xdr:from>
    <xdr:to>
      <xdr:col>4</xdr:col>
      <xdr:colOff>1506089</xdr:colOff>
      <xdr:row>14</xdr:row>
      <xdr:rowOff>914400</xdr:rowOff>
    </xdr:to>
    <xdr:pic>
      <xdr:nvPicPr>
        <xdr:cNvPr id="29" name="Picture 28">
          <a:extLst>
            <a:ext uri="{FF2B5EF4-FFF2-40B4-BE49-F238E27FC236}">
              <a16:creationId xmlns:a16="http://schemas.microsoft.com/office/drawing/2014/main" id="{CC272AC5-72F6-48C3-9DAF-ABE9AD537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06026" y="13725769"/>
          <a:ext cx="1506089" cy="914400"/>
        </a:xfrm>
        <a:prstGeom prst="rect">
          <a:avLst/>
        </a:prstGeom>
        <a:noFill/>
        <a:ln>
          <a:noFill/>
        </a:ln>
      </xdr:spPr>
    </xdr:pic>
    <xdr:clientData/>
  </xdr:twoCellAnchor>
  <xdr:oneCellAnchor>
    <xdr:from>
      <xdr:col>2</xdr:col>
      <xdr:colOff>0</xdr:colOff>
      <xdr:row>15</xdr:row>
      <xdr:rowOff>0</xdr:rowOff>
    </xdr:from>
    <xdr:ext cx="1424680" cy="886460"/>
    <xdr:pic>
      <xdr:nvPicPr>
        <xdr:cNvPr id="30" name="Picture 29">
          <a:extLst>
            <a:ext uri="{FF2B5EF4-FFF2-40B4-BE49-F238E27FC236}">
              <a16:creationId xmlns:a16="http://schemas.microsoft.com/office/drawing/2014/main" id="{FFE1A0DD-88C0-4C8E-816A-B74D9FFFEC8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469423" y="14922500"/>
          <a:ext cx="1424680" cy="886460"/>
        </a:xfrm>
        <a:prstGeom prst="rect">
          <a:avLst/>
        </a:prstGeom>
        <a:noFill/>
        <a:ln>
          <a:noFill/>
        </a:ln>
      </xdr:spPr>
    </xdr:pic>
    <xdr:clientData/>
  </xdr:oneCellAnchor>
  <xdr:oneCellAnchor>
    <xdr:from>
      <xdr:col>4</xdr:col>
      <xdr:colOff>0</xdr:colOff>
      <xdr:row>15</xdr:row>
      <xdr:rowOff>0</xdr:rowOff>
    </xdr:from>
    <xdr:ext cx="1516380" cy="886460"/>
    <xdr:pic>
      <xdr:nvPicPr>
        <xdr:cNvPr id="31" name="Picture 30">
          <a:extLst>
            <a:ext uri="{FF2B5EF4-FFF2-40B4-BE49-F238E27FC236}">
              <a16:creationId xmlns:a16="http://schemas.microsoft.com/office/drawing/2014/main" id="{F2DD77C8-1AE4-4148-B766-0D65ED835C7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921500" y="11830050"/>
          <a:ext cx="1516380" cy="886460"/>
        </a:xfrm>
        <a:prstGeom prst="rect">
          <a:avLst/>
        </a:prstGeom>
        <a:noFill/>
        <a:ln>
          <a:noFill/>
        </a:ln>
      </xdr:spPr>
    </xdr:pic>
    <xdr:clientData/>
  </xdr:oneCellAnchor>
  <xdr:oneCellAnchor>
    <xdr:from>
      <xdr:col>2</xdr:col>
      <xdr:colOff>0</xdr:colOff>
      <xdr:row>16</xdr:row>
      <xdr:rowOff>0</xdr:rowOff>
    </xdr:from>
    <xdr:ext cx="1408398" cy="886460"/>
    <xdr:pic>
      <xdr:nvPicPr>
        <xdr:cNvPr id="32" name="Picture 31">
          <a:extLst>
            <a:ext uri="{FF2B5EF4-FFF2-40B4-BE49-F238E27FC236}">
              <a16:creationId xmlns:a16="http://schemas.microsoft.com/office/drawing/2014/main" id="{1036566D-51B9-493C-935D-82E29B46D4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69423" y="16119231"/>
          <a:ext cx="1408398" cy="886460"/>
        </a:xfrm>
        <a:prstGeom prst="rect">
          <a:avLst/>
        </a:prstGeom>
        <a:noFill/>
        <a:ln>
          <a:noFill/>
        </a:ln>
      </xdr:spPr>
    </xdr:pic>
    <xdr:clientData/>
  </xdr:oneCellAnchor>
  <xdr:oneCellAnchor>
    <xdr:from>
      <xdr:col>4</xdr:col>
      <xdr:colOff>0</xdr:colOff>
      <xdr:row>16</xdr:row>
      <xdr:rowOff>0</xdr:rowOff>
    </xdr:from>
    <xdr:ext cx="1516380" cy="886460"/>
    <xdr:pic>
      <xdr:nvPicPr>
        <xdr:cNvPr id="33" name="Picture 32">
          <a:extLst>
            <a:ext uri="{FF2B5EF4-FFF2-40B4-BE49-F238E27FC236}">
              <a16:creationId xmlns:a16="http://schemas.microsoft.com/office/drawing/2014/main" id="{D76328F1-38DE-41D9-AB85-F074C3BDF0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927850" y="11645900"/>
          <a:ext cx="1516380" cy="886460"/>
        </a:xfrm>
        <a:prstGeom prst="rect">
          <a:avLst/>
        </a:prstGeom>
        <a:noFill/>
        <a:ln>
          <a:noFill/>
        </a:ln>
      </xdr:spPr>
    </xdr:pic>
    <xdr:clientData/>
  </xdr:oneCellAnchor>
  <xdr:oneCellAnchor>
    <xdr:from>
      <xdr:col>2</xdr:col>
      <xdr:colOff>0</xdr:colOff>
      <xdr:row>17</xdr:row>
      <xdr:rowOff>0</xdr:rowOff>
    </xdr:from>
    <xdr:ext cx="1416539" cy="886460"/>
    <xdr:pic>
      <xdr:nvPicPr>
        <xdr:cNvPr id="34" name="Picture 33">
          <a:extLst>
            <a:ext uri="{FF2B5EF4-FFF2-40B4-BE49-F238E27FC236}">
              <a16:creationId xmlns:a16="http://schemas.microsoft.com/office/drawing/2014/main" id="{BD131968-3BCB-4CD7-9AD0-DF7EE348F31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69423" y="17315962"/>
          <a:ext cx="1416539" cy="886460"/>
        </a:xfrm>
        <a:prstGeom prst="rect">
          <a:avLst/>
        </a:prstGeom>
        <a:noFill/>
        <a:ln>
          <a:noFill/>
        </a:ln>
      </xdr:spPr>
    </xdr:pic>
    <xdr:clientData/>
  </xdr:oneCellAnchor>
  <xdr:oneCellAnchor>
    <xdr:from>
      <xdr:col>4</xdr:col>
      <xdr:colOff>0</xdr:colOff>
      <xdr:row>17</xdr:row>
      <xdr:rowOff>0</xdr:rowOff>
    </xdr:from>
    <xdr:ext cx="1516380" cy="886460"/>
    <xdr:pic>
      <xdr:nvPicPr>
        <xdr:cNvPr id="35" name="Picture 34">
          <a:extLst>
            <a:ext uri="{FF2B5EF4-FFF2-40B4-BE49-F238E27FC236}">
              <a16:creationId xmlns:a16="http://schemas.microsoft.com/office/drawing/2014/main" id="{D9966F89-4932-4976-9DA6-417546A00E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940550" y="11830050"/>
          <a:ext cx="1516380" cy="886460"/>
        </a:xfrm>
        <a:prstGeom prst="rect">
          <a:avLst/>
        </a:prstGeom>
        <a:noFill/>
        <a:ln>
          <a:noFill/>
        </a:ln>
      </xdr:spPr>
    </xdr:pic>
    <xdr:clientData/>
  </xdr:oneCellAnchor>
  <xdr:oneCellAnchor>
    <xdr:from>
      <xdr:col>2</xdr:col>
      <xdr:colOff>0</xdr:colOff>
      <xdr:row>18</xdr:row>
      <xdr:rowOff>0</xdr:rowOff>
    </xdr:from>
    <xdr:ext cx="1432821" cy="886460"/>
    <xdr:pic>
      <xdr:nvPicPr>
        <xdr:cNvPr id="36" name="Picture 35">
          <a:extLst>
            <a:ext uri="{FF2B5EF4-FFF2-40B4-BE49-F238E27FC236}">
              <a16:creationId xmlns:a16="http://schemas.microsoft.com/office/drawing/2014/main" id="{82C1FB97-4D10-4F2E-B8B9-88084092A20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469423" y="18512692"/>
          <a:ext cx="1432821" cy="886460"/>
        </a:xfrm>
        <a:prstGeom prst="rect">
          <a:avLst/>
        </a:prstGeom>
        <a:noFill/>
        <a:ln>
          <a:noFill/>
        </a:ln>
      </xdr:spPr>
    </xdr:pic>
    <xdr:clientData/>
  </xdr:oneCellAnchor>
  <xdr:oneCellAnchor>
    <xdr:from>
      <xdr:col>4</xdr:col>
      <xdr:colOff>0</xdr:colOff>
      <xdr:row>18</xdr:row>
      <xdr:rowOff>0</xdr:rowOff>
    </xdr:from>
    <xdr:ext cx="1516380" cy="886460"/>
    <xdr:pic>
      <xdr:nvPicPr>
        <xdr:cNvPr id="37" name="Picture 36">
          <a:extLst>
            <a:ext uri="{FF2B5EF4-FFF2-40B4-BE49-F238E27FC236}">
              <a16:creationId xmlns:a16="http://schemas.microsoft.com/office/drawing/2014/main" id="{86F6214E-16C5-4513-A17B-D4B8256293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927850" y="18275300"/>
          <a:ext cx="1516380" cy="886460"/>
        </a:xfrm>
        <a:prstGeom prst="rect">
          <a:avLst/>
        </a:prstGeom>
        <a:noFill/>
        <a:ln>
          <a:noFill/>
        </a:ln>
      </xdr:spPr>
    </xdr:pic>
    <xdr:clientData/>
  </xdr:oneCellAnchor>
  <xdr:oneCellAnchor>
    <xdr:from>
      <xdr:col>6</xdr:col>
      <xdr:colOff>0</xdr:colOff>
      <xdr:row>18</xdr:row>
      <xdr:rowOff>0</xdr:rowOff>
    </xdr:from>
    <xdr:ext cx="1516380" cy="886460"/>
    <xdr:pic>
      <xdr:nvPicPr>
        <xdr:cNvPr id="38" name="Picture 37">
          <a:extLst>
            <a:ext uri="{FF2B5EF4-FFF2-40B4-BE49-F238E27FC236}">
              <a16:creationId xmlns:a16="http://schemas.microsoft.com/office/drawing/2014/main" id="{2C816846-227D-4A32-88FA-74735F1871E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613900" y="18275300"/>
          <a:ext cx="1516380" cy="886460"/>
        </a:xfrm>
        <a:prstGeom prst="rect">
          <a:avLst/>
        </a:prstGeom>
        <a:noFill/>
        <a:ln>
          <a:noFill/>
        </a:ln>
      </xdr:spPr>
    </xdr:pic>
    <xdr:clientData/>
  </xdr:oneCellAnchor>
  <xdr:oneCellAnchor>
    <xdr:from>
      <xdr:col>2</xdr:col>
      <xdr:colOff>0</xdr:colOff>
      <xdr:row>19</xdr:row>
      <xdr:rowOff>0</xdr:rowOff>
    </xdr:from>
    <xdr:ext cx="1416539" cy="886460"/>
    <xdr:pic>
      <xdr:nvPicPr>
        <xdr:cNvPr id="39" name="Picture 38">
          <a:extLst>
            <a:ext uri="{FF2B5EF4-FFF2-40B4-BE49-F238E27FC236}">
              <a16:creationId xmlns:a16="http://schemas.microsoft.com/office/drawing/2014/main" id="{158D7429-0D86-4A6C-BB9F-E932C6C4329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69423" y="19709423"/>
          <a:ext cx="1416539" cy="886460"/>
        </a:xfrm>
        <a:prstGeom prst="rect">
          <a:avLst/>
        </a:prstGeom>
        <a:noFill/>
        <a:ln>
          <a:noFill/>
        </a:ln>
      </xdr:spPr>
    </xdr:pic>
    <xdr:clientData/>
  </xdr:oneCellAnchor>
  <xdr:oneCellAnchor>
    <xdr:from>
      <xdr:col>4</xdr:col>
      <xdr:colOff>0</xdr:colOff>
      <xdr:row>19</xdr:row>
      <xdr:rowOff>0</xdr:rowOff>
    </xdr:from>
    <xdr:ext cx="1516380" cy="886460"/>
    <xdr:pic>
      <xdr:nvPicPr>
        <xdr:cNvPr id="40" name="Picture 39">
          <a:extLst>
            <a:ext uri="{FF2B5EF4-FFF2-40B4-BE49-F238E27FC236}">
              <a16:creationId xmlns:a16="http://schemas.microsoft.com/office/drawing/2014/main" id="{394C9886-5FB4-4D15-94B5-8C0CF24480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921500" y="22142450"/>
          <a:ext cx="1516380" cy="886460"/>
        </a:xfrm>
        <a:prstGeom prst="rect">
          <a:avLst/>
        </a:prstGeom>
        <a:noFill/>
        <a:ln>
          <a:noFill/>
        </a:ln>
      </xdr:spPr>
    </xdr:pic>
    <xdr:clientData/>
  </xdr:oneCellAnchor>
  <xdr:oneCellAnchor>
    <xdr:from>
      <xdr:col>2</xdr:col>
      <xdr:colOff>0</xdr:colOff>
      <xdr:row>20</xdr:row>
      <xdr:rowOff>0</xdr:rowOff>
    </xdr:from>
    <xdr:ext cx="1408398" cy="886460"/>
    <xdr:pic>
      <xdr:nvPicPr>
        <xdr:cNvPr id="41" name="Picture 40">
          <a:extLst>
            <a:ext uri="{FF2B5EF4-FFF2-40B4-BE49-F238E27FC236}">
              <a16:creationId xmlns:a16="http://schemas.microsoft.com/office/drawing/2014/main" id="{531C5803-C67F-4987-B0E4-54C1113849A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69423" y="20906154"/>
          <a:ext cx="1408398" cy="886460"/>
        </a:xfrm>
        <a:prstGeom prst="rect">
          <a:avLst/>
        </a:prstGeom>
        <a:noFill/>
        <a:ln>
          <a:noFill/>
        </a:ln>
      </xdr:spPr>
    </xdr:pic>
    <xdr:clientData/>
  </xdr:oneCellAnchor>
  <xdr:oneCellAnchor>
    <xdr:from>
      <xdr:col>4</xdr:col>
      <xdr:colOff>12700</xdr:colOff>
      <xdr:row>20</xdr:row>
      <xdr:rowOff>46241</xdr:rowOff>
    </xdr:from>
    <xdr:ext cx="1516380" cy="927099"/>
    <xdr:pic>
      <xdr:nvPicPr>
        <xdr:cNvPr id="42" name="Picture 41">
          <a:extLst>
            <a:ext uri="{FF2B5EF4-FFF2-40B4-BE49-F238E27FC236}">
              <a16:creationId xmlns:a16="http://schemas.microsoft.com/office/drawing/2014/main" id="{764E70D3-EFB6-4881-B550-50531D402C1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518726" y="20952395"/>
          <a:ext cx="1516380" cy="927099"/>
        </a:xfrm>
        <a:prstGeom prst="rect">
          <a:avLst/>
        </a:prstGeom>
        <a:noFill/>
        <a:ln>
          <a:noFill/>
        </a:ln>
      </xdr:spPr>
    </xdr:pic>
    <xdr:clientData/>
  </xdr:oneCellAnchor>
  <xdr:twoCellAnchor editAs="oneCell">
    <xdr:from>
      <xdr:col>2</xdr:col>
      <xdr:colOff>0</xdr:colOff>
      <xdr:row>21</xdr:row>
      <xdr:rowOff>0</xdr:rowOff>
    </xdr:from>
    <xdr:to>
      <xdr:col>2</xdr:col>
      <xdr:colOff>1424680</xdr:colOff>
      <xdr:row>21</xdr:row>
      <xdr:rowOff>857250</xdr:rowOff>
    </xdr:to>
    <xdr:pic>
      <xdr:nvPicPr>
        <xdr:cNvPr id="43" name="Picture 42">
          <a:extLst>
            <a:ext uri="{FF2B5EF4-FFF2-40B4-BE49-F238E27FC236}">
              <a16:creationId xmlns:a16="http://schemas.microsoft.com/office/drawing/2014/main" id="{703151D9-30BF-4FF0-BE11-57E4150CB9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69423" y="22102885"/>
          <a:ext cx="1424680" cy="857250"/>
        </a:xfrm>
        <a:prstGeom prst="rect">
          <a:avLst/>
        </a:prstGeom>
        <a:noFill/>
        <a:ln>
          <a:noFill/>
        </a:ln>
      </xdr:spPr>
    </xdr:pic>
    <xdr:clientData/>
  </xdr:twoCellAnchor>
  <xdr:oneCellAnchor>
    <xdr:from>
      <xdr:col>4</xdr:col>
      <xdr:colOff>0</xdr:colOff>
      <xdr:row>21</xdr:row>
      <xdr:rowOff>0</xdr:rowOff>
    </xdr:from>
    <xdr:ext cx="1470660" cy="868679"/>
    <xdr:pic>
      <xdr:nvPicPr>
        <xdr:cNvPr id="44" name="Picture 43">
          <a:extLst>
            <a:ext uri="{FF2B5EF4-FFF2-40B4-BE49-F238E27FC236}">
              <a16:creationId xmlns:a16="http://schemas.microsoft.com/office/drawing/2014/main" id="{711BEA60-2B16-4078-AE25-99241D50A6B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029450" y="16617950"/>
          <a:ext cx="1470660" cy="868679"/>
        </a:xfrm>
        <a:prstGeom prst="rect">
          <a:avLst/>
        </a:prstGeom>
        <a:noFill/>
        <a:ln>
          <a:noFill/>
        </a:ln>
      </xdr:spPr>
    </xdr:pic>
    <xdr:clientData/>
  </xdr:oneCellAnchor>
  <xdr:oneCellAnchor>
    <xdr:from>
      <xdr:col>2</xdr:col>
      <xdr:colOff>0</xdr:colOff>
      <xdr:row>22</xdr:row>
      <xdr:rowOff>0</xdr:rowOff>
    </xdr:from>
    <xdr:ext cx="1470660" cy="868679"/>
    <xdr:pic>
      <xdr:nvPicPr>
        <xdr:cNvPr id="45" name="Picture 44">
          <a:extLst>
            <a:ext uri="{FF2B5EF4-FFF2-40B4-BE49-F238E27FC236}">
              <a16:creationId xmlns:a16="http://schemas.microsoft.com/office/drawing/2014/main" id="{5A7F7CAA-0C88-4BB4-B6CF-9B85D3C358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24250" y="78308200"/>
          <a:ext cx="1470660" cy="868679"/>
        </a:xfrm>
        <a:prstGeom prst="rect">
          <a:avLst/>
        </a:prstGeom>
        <a:noFill/>
        <a:ln>
          <a:noFill/>
        </a:ln>
      </xdr:spPr>
    </xdr:pic>
    <xdr:clientData/>
  </xdr:oneCellAnchor>
  <xdr:oneCellAnchor>
    <xdr:from>
      <xdr:col>4</xdr:col>
      <xdr:colOff>0</xdr:colOff>
      <xdr:row>22</xdr:row>
      <xdr:rowOff>0</xdr:rowOff>
    </xdr:from>
    <xdr:ext cx="1470660" cy="868679"/>
    <xdr:pic>
      <xdr:nvPicPr>
        <xdr:cNvPr id="46" name="Picture 45">
          <a:extLst>
            <a:ext uri="{FF2B5EF4-FFF2-40B4-BE49-F238E27FC236}">
              <a16:creationId xmlns:a16="http://schemas.microsoft.com/office/drawing/2014/main" id="{6501A504-A3DE-43B6-B954-44651C3114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27850" y="78308200"/>
          <a:ext cx="1470660" cy="868679"/>
        </a:xfrm>
        <a:prstGeom prst="rect">
          <a:avLst/>
        </a:prstGeom>
        <a:noFill/>
        <a:ln>
          <a:noFill/>
        </a:ln>
      </xdr:spPr>
    </xdr:pic>
    <xdr:clientData/>
  </xdr:oneCellAnchor>
  <xdr:twoCellAnchor editAs="oneCell">
    <xdr:from>
      <xdr:col>2</xdr:col>
      <xdr:colOff>1</xdr:colOff>
      <xdr:row>23</xdr:row>
      <xdr:rowOff>0</xdr:rowOff>
    </xdr:from>
    <xdr:to>
      <xdr:col>2</xdr:col>
      <xdr:colOff>1383975</xdr:colOff>
      <xdr:row>23</xdr:row>
      <xdr:rowOff>850900</xdr:rowOff>
    </xdr:to>
    <xdr:pic>
      <xdr:nvPicPr>
        <xdr:cNvPr id="47" name="Picture 46">
          <a:extLst>
            <a:ext uri="{FF2B5EF4-FFF2-40B4-BE49-F238E27FC236}">
              <a16:creationId xmlns:a16="http://schemas.microsoft.com/office/drawing/2014/main" id="{C25179EE-0D92-4A31-A525-7F8611874C7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4" y="24496346"/>
          <a:ext cx="1383974" cy="850900"/>
        </a:xfrm>
        <a:prstGeom prst="rect">
          <a:avLst/>
        </a:prstGeom>
        <a:noFill/>
        <a:ln>
          <a:noFill/>
        </a:ln>
      </xdr:spPr>
    </xdr:pic>
    <xdr:clientData/>
  </xdr:twoCellAnchor>
  <xdr:twoCellAnchor editAs="oneCell">
    <xdr:from>
      <xdr:col>4</xdr:col>
      <xdr:colOff>31750</xdr:colOff>
      <xdr:row>23</xdr:row>
      <xdr:rowOff>31750</xdr:rowOff>
    </xdr:from>
    <xdr:to>
      <xdr:col>4</xdr:col>
      <xdr:colOff>1508125</xdr:colOff>
      <xdr:row>23</xdr:row>
      <xdr:rowOff>908050</xdr:rowOff>
    </xdr:to>
    <xdr:pic>
      <xdr:nvPicPr>
        <xdr:cNvPr id="48" name="Picture 47">
          <a:extLst>
            <a:ext uri="{FF2B5EF4-FFF2-40B4-BE49-F238E27FC236}">
              <a16:creationId xmlns:a16="http://schemas.microsoft.com/office/drawing/2014/main" id="{7E167D6B-948A-41C8-ADFD-B31A32D96971}"/>
            </a:ext>
          </a:extLst>
        </xdr:cNvPr>
        <xdr:cNvPicPr>
          <a:picLocks noChangeAspect="1"/>
        </xdr:cNvPicPr>
      </xdr:nvPicPr>
      <xdr:blipFill>
        <a:blip xmlns:r="http://schemas.openxmlformats.org/officeDocument/2006/relationships" r:embed="rId12"/>
        <a:stretch>
          <a:fillRect/>
        </a:stretch>
      </xdr:blipFill>
      <xdr:spPr>
        <a:xfrm>
          <a:off x="7080250" y="42614850"/>
          <a:ext cx="1476375" cy="876300"/>
        </a:xfrm>
        <a:prstGeom prst="rect">
          <a:avLst/>
        </a:prstGeom>
      </xdr:spPr>
    </xdr:pic>
    <xdr:clientData/>
  </xdr:twoCellAnchor>
  <xdr:oneCellAnchor>
    <xdr:from>
      <xdr:col>2</xdr:col>
      <xdr:colOff>0</xdr:colOff>
      <xdr:row>24</xdr:row>
      <xdr:rowOff>0</xdr:rowOff>
    </xdr:from>
    <xdr:ext cx="1400256" cy="868680"/>
    <xdr:pic>
      <xdr:nvPicPr>
        <xdr:cNvPr id="49" name="Picture 48">
          <a:extLst>
            <a:ext uri="{FF2B5EF4-FFF2-40B4-BE49-F238E27FC236}">
              <a16:creationId xmlns:a16="http://schemas.microsoft.com/office/drawing/2014/main" id="{39484FF1-2750-4C07-8EDC-37840EFBEC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25693077"/>
          <a:ext cx="1400256" cy="868680"/>
        </a:xfrm>
        <a:prstGeom prst="rect">
          <a:avLst/>
        </a:prstGeom>
        <a:noFill/>
        <a:ln>
          <a:noFill/>
        </a:ln>
      </xdr:spPr>
    </xdr:pic>
    <xdr:clientData/>
  </xdr:oneCellAnchor>
  <xdr:oneCellAnchor>
    <xdr:from>
      <xdr:col>4</xdr:col>
      <xdr:colOff>0</xdr:colOff>
      <xdr:row>24</xdr:row>
      <xdr:rowOff>0</xdr:rowOff>
    </xdr:from>
    <xdr:ext cx="1485900" cy="868680"/>
    <xdr:pic>
      <xdr:nvPicPr>
        <xdr:cNvPr id="50" name="Picture 49">
          <a:extLst>
            <a:ext uri="{FF2B5EF4-FFF2-40B4-BE49-F238E27FC236}">
              <a16:creationId xmlns:a16="http://schemas.microsoft.com/office/drawing/2014/main" id="{B476DB7B-C52B-498F-BA64-787D0F186E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15150" y="28219400"/>
          <a:ext cx="1485900" cy="868680"/>
        </a:xfrm>
        <a:prstGeom prst="rect">
          <a:avLst/>
        </a:prstGeom>
        <a:noFill/>
        <a:ln>
          <a:noFill/>
        </a:ln>
      </xdr:spPr>
    </xdr:pic>
    <xdr:clientData/>
  </xdr:oneCellAnchor>
  <xdr:oneCellAnchor>
    <xdr:from>
      <xdr:col>2</xdr:col>
      <xdr:colOff>0</xdr:colOff>
      <xdr:row>25</xdr:row>
      <xdr:rowOff>0</xdr:rowOff>
    </xdr:from>
    <xdr:ext cx="1400256" cy="868680"/>
    <xdr:pic>
      <xdr:nvPicPr>
        <xdr:cNvPr id="51" name="Picture 50">
          <a:extLst>
            <a:ext uri="{FF2B5EF4-FFF2-40B4-BE49-F238E27FC236}">
              <a16:creationId xmlns:a16="http://schemas.microsoft.com/office/drawing/2014/main" id="{C674D100-0F25-4765-9712-790D2C44BBD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26889808"/>
          <a:ext cx="1400256" cy="868680"/>
        </a:xfrm>
        <a:prstGeom prst="rect">
          <a:avLst/>
        </a:prstGeom>
        <a:noFill/>
        <a:ln>
          <a:noFill/>
        </a:ln>
      </xdr:spPr>
    </xdr:pic>
    <xdr:clientData/>
  </xdr:oneCellAnchor>
  <xdr:oneCellAnchor>
    <xdr:from>
      <xdr:col>4</xdr:col>
      <xdr:colOff>0</xdr:colOff>
      <xdr:row>25</xdr:row>
      <xdr:rowOff>0</xdr:rowOff>
    </xdr:from>
    <xdr:ext cx="1485900" cy="868680"/>
    <xdr:pic>
      <xdr:nvPicPr>
        <xdr:cNvPr id="52" name="Picture 51">
          <a:extLst>
            <a:ext uri="{FF2B5EF4-FFF2-40B4-BE49-F238E27FC236}">
              <a16:creationId xmlns:a16="http://schemas.microsoft.com/office/drawing/2014/main" id="{2CFAF5ED-F174-4D61-B5EC-F407CA7F9A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27850" y="21405850"/>
          <a:ext cx="1485900" cy="868680"/>
        </a:xfrm>
        <a:prstGeom prst="rect">
          <a:avLst/>
        </a:prstGeom>
        <a:noFill/>
        <a:ln>
          <a:noFill/>
        </a:ln>
      </xdr:spPr>
    </xdr:pic>
    <xdr:clientData/>
  </xdr:oneCellAnchor>
  <xdr:oneCellAnchor>
    <xdr:from>
      <xdr:col>2</xdr:col>
      <xdr:colOff>0</xdr:colOff>
      <xdr:row>26</xdr:row>
      <xdr:rowOff>0</xdr:rowOff>
    </xdr:from>
    <xdr:ext cx="1400256" cy="868680"/>
    <xdr:pic>
      <xdr:nvPicPr>
        <xdr:cNvPr id="53" name="Picture 52">
          <a:extLst>
            <a:ext uri="{FF2B5EF4-FFF2-40B4-BE49-F238E27FC236}">
              <a16:creationId xmlns:a16="http://schemas.microsoft.com/office/drawing/2014/main" id="{3E929186-DD0C-4B46-AFAE-2CC3A551BE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28086538"/>
          <a:ext cx="1400256" cy="868680"/>
        </a:xfrm>
        <a:prstGeom prst="rect">
          <a:avLst/>
        </a:prstGeom>
        <a:noFill/>
        <a:ln>
          <a:noFill/>
        </a:ln>
      </xdr:spPr>
    </xdr:pic>
    <xdr:clientData/>
  </xdr:oneCellAnchor>
  <xdr:twoCellAnchor>
    <xdr:from>
      <xdr:col>4</xdr:col>
      <xdr:colOff>0</xdr:colOff>
      <xdr:row>26</xdr:row>
      <xdr:rowOff>0</xdr:rowOff>
    </xdr:from>
    <xdr:to>
      <xdr:col>5</xdr:col>
      <xdr:colOff>0</xdr:colOff>
      <xdr:row>26</xdr:row>
      <xdr:rowOff>819150</xdr:rowOff>
    </xdr:to>
    <xdr:pic>
      <xdr:nvPicPr>
        <xdr:cNvPr id="54" name="Picture 53">
          <a:extLst>
            <a:ext uri="{FF2B5EF4-FFF2-40B4-BE49-F238E27FC236}">
              <a16:creationId xmlns:a16="http://schemas.microsoft.com/office/drawing/2014/main" id="{E07D42AF-8D77-4058-86C2-2445E219CCA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959600" y="22142450"/>
          <a:ext cx="12700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28</xdr:row>
      <xdr:rowOff>0</xdr:rowOff>
    </xdr:from>
    <xdr:ext cx="1485900" cy="868680"/>
    <xdr:pic>
      <xdr:nvPicPr>
        <xdr:cNvPr id="55" name="Picture 54">
          <a:extLst>
            <a:ext uri="{FF2B5EF4-FFF2-40B4-BE49-F238E27FC236}">
              <a16:creationId xmlns:a16="http://schemas.microsoft.com/office/drawing/2014/main" id="{1354B9C0-7420-49CA-A280-16D1771367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524250" y="25273000"/>
          <a:ext cx="1485900" cy="868680"/>
        </a:xfrm>
        <a:prstGeom prst="rect">
          <a:avLst/>
        </a:prstGeom>
        <a:noFill/>
        <a:ln>
          <a:noFill/>
        </a:ln>
      </xdr:spPr>
    </xdr:pic>
    <xdr:clientData/>
  </xdr:oneCellAnchor>
  <xdr:oneCellAnchor>
    <xdr:from>
      <xdr:col>4</xdr:col>
      <xdr:colOff>0</xdr:colOff>
      <xdr:row>28</xdr:row>
      <xdr:rowOff>0</xdr:rowOff>
    </xdr:from>
    <xdr:ext cx="1485900" cy="868680"/>
    <xdr:pic>
      <xdr:nvPicPr>
        <xdr:cNvPr id="56" name="Picture 55">
          <a:extLst>
            <a:ext uri="{FF2B5EF4-FFF2-40B4-BE49-F238E27FC236}">
              <a16:creationId xmlns:a16="http://schemas.microsoft.com/office/drawing/2014/main" id="{7E14986D-BE34-4888-9303-0362989D41E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08800" y="25273000"/>
          <a:ext cx="1485900" cy="868680"/>
        </a:xfrm>
        <a:prstGeom prst="rect">
          <a:avLst/>
        </a:prstGeom>
        <a:noFill/>
        <a:ln>
          <a:noFill/>
        </a:ln>
      </xdr:spPr>
    </xdr:pic>
    <xdr:clientData/>
  </xdr:oneCellAnchor>
  <xdr:twoCellAnchor editAs="oneCell">
    <xdr:from>
      <xdr:col>2</xdr:col>
      <xdr:colOff>0</xdr:colOff>
      <xdr:row>29</xdr:row>
      <xdr:rowOff>0</xdr:rowOff>
    </xdr:from>
    <xdr:to>
      <xdr:col>2</xdr:col>
      <xdr:colOff>1416539</xdr:colOff>
      <xdr:row>29</xdr:row>
      <xdr:rowOff>895350</xdr:rowOff>
    </xdr:to>
    <xdr:pic>
      <xdr:nvPicPr>
        <xdr:cNvPr id="57" name="Picture 56">
          <a:extLst>
            <a:ext uri="{FF2B5EF4-FFF2-40B4-BE49-F238E27FC236}">
              <a16:creationId xmlns:a16="http://schemas.microsoft.com/office/drawing/2014/main" id="{BCAA15FA-7CBB-458F-9F40-6732F6F7164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469423" y="31676731"/>
          <a:ext cx="1416539" cy="895350"/>
        </a:xfrm>
        <a:prstGeom prst="rect">
          <a:avLst/>
        </a:prstGeom>
        <a:noFill/>
        <a:ln>
          <a:noFill/>
        </a:ln>
      </xdr:spPr>
    </xdr:pic>
    <xdr:clientData/>
  </xdr:twoCellAnchor>
  <xdr:oneCellAnchor>
    <xdr:from>
      <xdr:col>4</xdr:col>
      <xdr:colOff>0</xdr:colOff>
      <xdr:row>29</xdr:row>
      <xdr:rowOff>0</xdr:rowOff>
    </xdr:from>
    <xdr:ext cx="1516380" cy="886460"/>
    <xdr:pic>
      <xdr:nvPicPr>
        <xdr:cNvPr id="58" name="Picture 57">
          <a:extLst>
            <a:ext uri="{FF2B5EF4-FFF2-40B4-BE49-F238E27FC236}">
              <a16:creationId xmlns:a16="http://schemas.microsoft.com/office/drawing/2014/main" id="{D2C82B5E-F4D0-4EC9-B0B1-99F532661E9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181850" y="40557450"/>
          <a:ext cx="1516380" cy="886460"/>
        </a:xfrm>
        <a:prstGeom prst="rect">
          <a:avLst/>
        </a:prstGeom>
        <a:noFill/>
        <a:ln>
          <a:noFill/>
        </a:ln>
      </xdr:spPr>
    </xdr:pic>
    <xdr:clientData/>
  </xdr:oneCellAnchor>
  <xdr:oneCellAnchor>
    <xdr:from>
      <xdr:col>2</xdr:col>
      <xdr:colOff>0</xdr:colOff>
      <xdr:row>30</xdr:row>
      <xdr:rowOff>0</xdr:rowOff>
    </xdr:from>
    <xdr:ext cx="1424680" cy="868680"/>
    <xdr:pic>
      <xdr:nvPicPr>
        <xdr:cNvPr id="59" name="Picture 58">
          <a:extLst>
            <a:ext uri="{FF2B5EF4-FFF2-40B4-BE49-F238E27FC236}">
              <a16:creationId xmlns:a16="http://schemas.microsoft.com/office/drawing/2014/main" id="{AFCAE04D-AC0A-4AFE-812D-E35C710B0B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32873462"/>
          <a:ext cx="1424680" cy="868680"/>
        </a:xfrm>
        <a:prstGeom prst="rect">
          <a:avLst/>
        </a:prstGeom>
        <a:noFill/>
        <a:ln>
          <a:noFill/>
        </a:ln>
      </xdr:spPr>
    </xdr:pic>
    <xdr:clientData/>
  </xdr:oneCellAnchor>
  <xdr:oneCellAnchor>
    <xdr:from>
      <xdr:col>4</xdr:col>
      <xdr:colOff>0</xdr:colOff>
      <xdr:row>30</xdr:row>
      <xdr:rowOff>0</xdr:rowOff>
    </xdr:from>
    <xdr:ext cx="1485900" cy="868680"/>
    <xdr:pic>
      <xdr:nvPicPr>
        <xdr:cNvPr id="60" name="Picture 59">
          <a:extLst>
            <a:ext uri="{FF2B5EF4-FFF2-40B4-BE49-F238E27FC236}">
              <a16:creationId xmlns:a16="http://schemas.microsoft.com/office/drawing/2014/main" id="{B853ADE7-4668-4C27-9D69-A377819FFE7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53250" y="16802100"/>
          <a:ext cx="1485900" cy="868680"/>
        </a:xfrm>
        <a:prstGeom prst="rect">
          <a:avLst/>
        </a:prstGeom>
        <a:noFill/>
        <a:ln>
          <a:noFill/>
        </a:ln>
      </xdr:spPr>
    </xdr:pic>
    <xdr:clientData/>
  </xdr:oneCellAnchor>
  <xdr:oneCellAnchor>
    <xdr:from>
      <xdr:col>2</xdr:col>
      <xdr:colOff>0</xdr:colOff>
      <xdr:row>31</xdr:row>
      <xdr:rowOff>0</xdr:rowOff>
    </xdr:from>
    <xdr:ext cx="1367692" cy="868680"/>
    <xdr:pic>
      <xdr:nvPicPr>
        <xdr:cNvPr id="61" name="Picture 60">
          <a:extLst>
            <a:ext uri="{FF2B5EF4-FFF2-40B4-BE49-F238E27FC236}">
              <a16:creationId xmlns:a16="http://schemas.microsoft.com/office/drawing/2014/main" id="{74AACB0A-53E5-4AB7-B41B-246D685EE54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34070192"/>
          <a:ext cx="1367692" cy="868680"/>
        </a:xfrm>
        <a:prstGeom prst="rect">
          <a:avLst/>
        </a:prstGeom>
        <a:noFill/>
        <a:ln>
          <a:noFill/>
        </a:ln>
      </xdr:spPr>
    </xdr:pic>
    <xdr:clientData/>
  </xdr:oneCellAnchor>
  <xdr:oneCellAnchor>
    <xdr:from>
      <xdr:col>4</xdr:col>
      <xdr:colOff>0</xdr:colOff>
      <xdr:row>31</xdr:row>
      <xdr:rowOff>0</xdr:rowOff>
    </xdr:from>
    <xdr:ext cx="1485900" cy="868680"/>
    <xdr:pic>
      <xdr:nvPicPr>
        <xdr:cNvPr id="62" name="Picture 61">
          <a:extLst>
            <a:ext uri="{FF2B5EF4-FFF2-40B4-BE49-F238E27FC236}">
              <a16:creationId xmlns:a16="http://schemas.microsoft.com/office/drawing/2014/main" id="{6CF60977-91FD-43E1-808F-181EA45B4F2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89750" y="16802100"/>
          <a:ext cx="1485900" cy="868680"/>
        </a:xfrm>
        <a:prstGeom prst="rect">
          <a:avLst/>
        </a:prstGeom>
        <a:noFill/>
        <a:ln>
          <a:noFill/>
        </a:ln>
      </xdr:spPr>
    </xdr:pic>
    <xdr:clientData/>
  </xdr:oneCellAnchor>
  <xdr:oneCellAnchor>
    <xdr:from>
      <xdr:col>2</xdr:col>
      <xdr:colOff>0</xdr:colOff>
      <xdr:row>32</xdr:row>
      <xdr:rowOff>0</xdr:rowOff>
    </xdr:from>
    <xdr:ext cx="1400256" cy="868680"/>
    <xdr:pic>
      <xdr:nvPicPr>
        <xdr:cNvPr id="63" name="Picture 62">
          <a:extLst>
            <a:ext uri="{FF2B5EF4-FFF2-40B4-BE49-F238E27FC236}">
              <a16:creationId xmlns:a16="http://schemas.microsoft.com/office/drawing/2014/main" id="{96821811-DB25-40CF-B907-C3284DC7AB6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35266923"/>
          <a:ext cx="1400256" cy="868680"/>
        </a:xfrm>
        <a:prstGeom prst="rect">
          <a:avLst/>
        </a:prstGeom>
        <a:noFill/>
        <a:ln>
          <a:noFill/>
        </a:ln>
      </xdr:spPr>
    </xdr:pic>
    <xdr:clientData/>
  </xdr:oneCellAnchor>
  <xdr:oneCellAnchor>
    <xdr:from>
      <xdr:col>4</xdr:col>
      <xdr:colOff>0</xdr:colOff>
      <xdr:row>32</xdr:row>
      <xdr:rowOff>0</xdr:rowOff>
    </xdr:from>
    <xdr:ext cx="1485900" cy="868680"/>
    <xdr:pic>
      <xdr:nvPicPr>
        <xdr:cNvPr id="64" name="Picture 63">
          <a:extLst>
            <a:ext uri="{FF2B5EF4-FFF2-40B4-BE49-F238E27FC236}">
              <a16:creationId xmlns:a16="http://schemas.microsoft.com/office/drawing/2014/main" id="{130973DA-F8A1-4BF4-892B-205DDDE524F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89750" y="21342350"/>
          <a:ext cx="1485900" cy="868680"/>
        </a:xfrm>
        <a:prstGeom prst="rect">
          <a:avLst/>
        </a:prstGeom>
        <a:noFill/>
        <a:ln>
          <a:noFill/>
        </a:ln>
      </xdr:spPr>
    </xdr:pic>
    <xdr:clientData/>
  </xdr:oneCellAnchor>
  <xdr:oneCellAnchor>
    <xdr:from>
      <xdr:col>2</xdr:col>
      <xdr:colOff>0</xdr:colOff>
      <xdr:row>33</xdr:row>
      <xdr:rowOff>0</xdr:rowOff>
    </xdr:from>
    <xdr:ext cx="1408398" cy="868680"/>
    <xdr:pic>
      <xdr:nvPicPr>
        <xdr:cNvPr id="65" name="Picture 64">
          <a:extLst>
            <a:ext uri="{FF2B5EF4-FFF2-40B4-BE49-F238E27FC236}">
              <a16:creationId xmlns:a16="http://schemas.microsoft.com/office/drawing/2014/main" id="{657E492D-9336-47FC-AC2D-C8053DDD879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36463654"/>
          <a:ext cx="1408398" cy="868680"/>
        </a:xfrm>
        <a:prstGeom prst="rect">
          <a:avLst/>
        </a:prstGeom>
        <a:noFill/>
        <a:ln>
          <a:noFill/>
        </a:ln>
      </xdr:spPr>
    </xdr:pic>
    <xdr:clientData/>
  </xdr:oneCellAnchor>
  <xdr:oneCellAnchor>
    <xdr:from>
      <xdr:col>4</xdr:col>
      <xdr:colOff>0</xdr:colOff>
      <xdr:row>33</xdr:row>
      <xdr:rowOff>0</xdr:rowOff>
    </xdr:from>
    <xdr:ext cx="1485900" cy="868680"/>
    <xdr:pic>
      <xdr:nvPicPr>
        <xdr:cNvPr id="66" name="Picture 65">
          <a:extLst>
            <a:ext uri="{FF2B5EF4-FFF2-40B4-BE49-F238E27FC236}">
              <a16:creationId xmlns:a16="http://schemas.microsoft.com/office/drawing/2014/main" id="{F1788B58-817B-4D73-8CFC-1596CAD54F8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02450" y="57315100"/>
          <a:ext cx="1485900" cy="868680"/>
        </a:xfrm>
        <a:prstGeom prst="rect">
          <a:avLst/>
        </a:prstGeom>
        <a:noFill/>
        <a:ln>
          <a:noFill/>
        </a:ln>
      </xdr:spPr>
    </xdr:pic>
    <xdr:clientData/>
  </xdr:oneCellAnchor>
  <xdr:oneCellAnchor>
    <xdr:from>
      <xdr:col>2</xdr:col>
      <xdr:colOff>0</xdr:colOff>
      <xdr:row>34</xdr:row>
      <xdr:rowOff>0</xdr:rowOff>
    </xdr:from>
    <xdr:ext cx="1367692" cy="868680"/>
    <xdr:pic>
      <xdr:nvPicPr>
        <xdr:cNvPr id="67" name="Picture 66">
          <a:extLst>
            <a:ext uri="{FF2B5EF4-FFF2-40B4-BE49-F238E27FC236}">
              <a16:creationId xmlns:a16="http://schemas.microsoft.com/office/drawing/2014/main" id="{657AEEB1-588A-4109-BD8E-D5D22A595DE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37660385"/>
          <a:ext cx="1367692" cy="868680"/>
        </a:xfrm>
        <a:prstGeom prst="rect">
          <a:avLst/>
        </a:prstGeom>
        <a:noFill/>
        <a:ln>
          <a:noFill/>
        </a:ln>
      </xdr:spPr>
    </xdr:pic>
    <xdr:clientData/>
  </xdr:oneCellAnchor>
  <xdr:oneCellAnchor>
    <xdr:from>
      <xdr:col>4</xdr:col>
      <xdr:colOff>0</xdr:colOff>
      <xdr:row>34</xdr:row>
      <xdr:rowOff>0</xdr:rowOff>
    </xdr:from>
    <xdr:ext cx="1485900" cy="868680"/>
    <xdr:pic>
      <xdr:nvPicPr>
        <xdr:cNvPr id="68" name="Picture 67">
          <a:extLst>
            <a:ext uri="{FF2B5EF4-FFF2-40B4-BE49-F238E27FC236}">
              <a16:creationId xmlns:a16="http://schemas.microsoft.com/office/drawing/2014/main" id="{B6D0F373-89A0-471B-8B99-4DA97C150A5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02450" y="23615650"/>
          <a:ext cx="1485900" cy="868680"/>
        </a:xfrm>
        <a:prstGeom prst="rect">
          <a:avLst/>
        </a:prstGeom>
        <a:noFill/>
        <a:ln>
          <a:noFill/>
        </a:ln>
      </xdr:spPr>
    </xdr:pic>
    <xdr:clientData/>
  </xdr:oneCellAnchor>
  <xdr:oneCellAnchor>
    <xdr:from>
      <xdr:col>2</xdr:col>
      <xdr:colOff>0</xdr:colOff>
      <xdr:row>35</xdr:row>
      <xdr:rowOff>0</xdr:rowOff>
    </xdr:from>
    <xdr:ext cx="1351410" cy="868680"/>
    <xdr:pic>
      <xdr:nvPicPr>
        <xdr:cNvPr id="69" name="Picture 68">
          <a:extLst>
            <a:ext uri="{FF2B5EF4-FFF2-40B4-BE49-F238E27FC236}">
              <a16:creationId xmlns:a16="http://schemas.microsoft.com/office/drawing/2014/main" id="{4B7783E7-5371-48FD-A3AA-81868A644D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9423" y="38857115"/>
          <a:ext cx="1351410" cy="868680"/>
        </a:xfrm>
        <a:prstGeom prst="rect">
          <a:avLst/>
        </a:prstGeom>
        <a:noFill/>
        <a:ln>
          <a:noFill/>
        </a:ln>
      </xdr:spPr>
    </xdr:pic>
    <xdr:clientData/>
  </xdr:oneCellAnchor>
  <xdr:oneCellAnchor>
    <xdr:from>
      <xdr:col>4</xdr:col>
      <xdr:colOff>0</xdr:colOff>
      <xdr:row>35</xdr:row>
      <xdr:rowOff>0</xdr:rowOff>
    </xdr:from>
    <xdr:ext cx="1485900" cy="868680"/>
    <xdr:pic>
      <xdr:nvPicPr>
        <xdr:cNvPr id="70" name="Picture 69">
          <a:extLst>
            <a:ext uri="{FF2B5EF4-FFF2-40B4-BE49-F238E27FC236}">
              <a16:creationId xmlns:a16="http://schemas.microsoft.com/office/drawing/2014/main" id="{B1091D14-92AB-4D01-9CC7-7DFB6ADF2F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96100" y="13652500"/>
          <a:ext cx="1485900" cy="868680"/>
        </a:xfrm>
        <a:prstGeom prst="rect">
          <a:avLst/>
        </a:prstGeom>
        <a:noFill/>
        <a:ln>
          <a:noFill/>
        </a:ln>
      </xdr:spPr>
    </xdr:pic>
    <xdr:clientData/>
  </xdr:oneCellAnchor>
  <xdr:oneCellAnchor>
    <xdr:from>
      <xdr:col>2</xdr:col>
      <xdr:colOff>0</xdr:colOff>
      <xdr:row>36</xdr:row>
      <xdr:rowOff>0</xdr:rowOff>
    </xdr:from>
    <xdr:ext cx="1415879" cy="868680"/>
    <xdr:pic>
      <xdr:nvPicPr>
        <xdr:cNvPr id="71" name="Picture 70">
          <a:extLst>
            <a:ext uri="{FF2B5EF4-FFF2-40B4-BE49-F238E27FC236}">
              <a16:creationId xmlns:a16="http://schemas.microsoft.com/office/drawing/2014/main" id="{EDEC55A1-E88B-4D4F-A287-F7AE07C221A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40185203"/>
          <a:ext cx="1415879" cy="868680"/>
        </a:xfrm>
        <a:prstGeom prst="rect">
          <a:avLst/>
        </a:prstGeom>
        <a:noFill/>
        <a:ln>
          <a:noFill/>
        </a:ln>
      </xdr:spPr>
    </xdr:pic>
    <xdr:clientData/>
  </xdr:oneCellAnchor>
  <xdr:oneCellAnchor>
    <xdr:from>
      <xdr:col>4</xdr:col>
      <xdr:colOff>0</xdr:colOff>
      <xdr:row>36</xdr:row>
      <xdr:rowOff>0</xdr:rowOff>
    </xdr:from>
    <xdr:ext cx="1478279" cy="845820"/>
    <xdr:pic>
      <xdr:nvPicPr>
        <xdr:cNvPr id="72" name="Picture 71">
          <a:extLst>
            <a:ext uri="{FF2B5EF4-FFF2-40B4-BE49-F238E27FC236}">
              <a16:creationId xmlns:a16="http://schemas.microsoft.com/office/drawing/2014/main" id="{18AB2EE1-7111-4604-8EE4-84F04FD25185}"/>
            </a:ext>
          </a:extLst>
        </xdr:cNvPr>
        <xdr:cNvPicPr>
          <a:picLocks noChangeAspect="1"/>
        </xdr:cNvPicPr>
      </xdr:nvPicPr>
      <xdr:blipFill>
        <a:blip xmlns:r="http://schemas.openxmlformats.org/officeDocument/2006/relationships" r:embed="rId12"/>
        <a:stretch>
          <a:fillRect/>
        </a:stretch>
      </xdr:blipFill>
      <xdr:spPr>
        <a:xfrm>
          <a:off x="6902450" y="32270700"/>
          <a:ext cx="1478279" cy="845820"/>
        </a:xfrm>
        <a:prstGeom prst="rect">
          <a:avLst/>
        </a:prstGeom>
      </xdr:spPr>
    </xdr:pic>
    <xdr:clientData/>
  </xdr:oneCellAnchor>
  <xdr:oneCellAnchor>
    <xdr:from>
      <xdr:col>2</xdr:col>
      <xdr:colOff>0</xdr:colOff>
      <xdr:row>37</xdr:row>
      <xdr:rowOff>0</xdr:rowOff>
    </xdr:from>
    <xdr:ext cx="1424460" cy="868680"/>
    <xdr:pic>
      <xdr:nvPicPr>
        <xdr:cNvPr id="73" name="Picture 72">
          <a:extLst>
            <a:ext uri="{FF2B5EF4-FFF2-40B4-BE49-F238E27FC236}">
              <a16:creationId xmlns:a16="http://schemas.microsoft.com/office/drawing/2014/main" id="{61C548E1-075E-4A61-BB01-6DBDB102873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41386554"/>
          <a:ext cx="1424460" cy="868680"/>
        </a:xfrm>
        <a:prstGeom prst="rect">
          <a:avLst/>
        </a:prstGeom>
        <a:noFill/>
        <a:ln>
          <a:noFill/>
        </a:ln>
      </xdr:spPr>
    </xdr:pic>
    <xdr:clientData/>
  </xdr:oneCellAnchor>
  <xdr:twoCellAnchor editAs="oneCell">
    <xdr:from>
      <xdr:col>4</xdr:col>
      <xdr:colOff>0</xdr:colOff>
      <xdr:row>37</xdr:row>
      <xdr:rowOff>0</xdr:rowOff>
    </xdr:from>
    <xdr:to>
      <xdr:col>4</xdr:col>
      <xdr:colOff>1466850</xdr:colOff>
      <xdr:row>37</xdr:row>
      <xdr:rowOff>882650</xdr:rowOff>
    </xdr:to>
    <xdr:pic>
      <xdr:nvPicPr>
        <xdr:cNvPr id="74" name="Picture 73">
          <a:extLst>
            <a:ext uri="{FF2B5EF4-FFF2-40B4-BE49-F238E27FC236}">
              <a16:creationId xmlns:a16="http://schemas.microsoft.com/office/drawing/2014/main" id="{34C05700-4226-45DB-9EA1-6DAF4B069136}"/>
            </a:ext>
          </a:extLst>
        </xdr:cNvPr>
        <xdr:cNvPicPr>
          <a:picLocks noChangeAspect="1"/>
        </xdr:cNvPicPr>
      </xdr:nvPicPr>
      <xdr:blipFill>
        <a:blip xmlns:r="http://schemas.openxmlformats.org/officeDocument/2006/relationships" r:embed="rId12"/>
        <a:stretch>
          <a:fillRect/>
        </a:stretch>
      </xdr:blipFill>
      <xdr:spPr>
        <a:xfrm>
          <a:off x="6902450" y="22510750"/>
          <a:ext cx="1466850" cy="882650"/>
        </a:xfrm>
        <a:prstGeom prst="rect">
          <a:avLst/>
        </a:prstGeom>
      </xdr:spPr>
    </xdr:pic>
    <xdr:clientData/>
  </xdr:twoCellAnchor>
  <xdr:oneCellAnchor>
    <xdr:from>
      <xdr:col>2</xdr:col>
      <xdr:colOff>0</xdr:colOff>
      <xdr:row>38</xdr:row>
      <xdr:rowOff>0</xdr:rowOff>
    </xdr:from>
    <xdr:ext cx="1415879" cy="868680"/>
    <xdr:pic>
      <xdr:nvPicPr>
        <xdr:cNvPr id="75" name="Picture 74">
          <a:extLst>
            <a:ext uri="{FF2B5EF4-FFF2-40B4-BE49-F238E27FC236}">
              <a16:creationId xmlns:a16="http://schemas.microsoft.com/office/drawing/2014/main" id="{9AF6901A-67E0-48E4-9F80-0B924614802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42587905"/>
          <a:ext cx="1415879" cy="868680"/>
        </a:xfrm>
        <a:prstGeom prst="rect">
          <a:avLst/>
        </a:prstGeom>
        <a:noFill/>
        <a:ln>
          <a:noFill/>
        </a:ln>
      </xdr:spPr>
    </xdr:pic>
    <xdr:clientData/>
  </xdr:oneCellAnchor>
  <xdr:oneCellAnchor>
    <xdr:from>
      <xdr:col>4</xdr:col>
      <xdr:colOff>0</xdr:colOff>
      <xdr:row>38</xdr:row>
      <xdr:rowOff>0</xdr:rowOff>
    </xdr:from>
    <xdr:ext cx="1485900" cy="868680"/>
    <xdr:pic>
      <xdr:nvPicPr>
        <xdr:cNvPr id="76" name="Picture 75">
          <a:extLst>
            <a:ext uri="{FF2B5EF4-FFF2-40B4-BE49-F238E27FC236}">
              <a16:creationId xmlns:a16="http://schemas.microsoft.com/office/drawing/2014/main" id="{7DBEDB24-E050-489B-B48E-ABA25B7D895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08800" y="11830050"/>
          <a:ext cx="1485900" cy="868680"/>
        </a:xfrm>
        <a:prstGeom prst="rect">
          <a:avLst/>
        </a:prstGeom>
        <a:noFill/>
        <a:ln>
          <a:noFill/>
        </a:ln>
      </xdr:spPr>
    </xdr:pic>
    <xdr:clientData/>
  </xdr:oneCellAnchor>
  <xdr:oneCellAnchor>
    <xdr:from>
      <xdr:col>2</xdr:col>
      <xdr:colOff>0</xdr:colOff>
      <xdr:row>39</xdr:row>
      <xdr:rowOff>0</xdr:rowOff>
    </xdr:from>
    <xdr:ext cx="1433041" cy="844550"/>
    <xdr:pic>
      <xdr:nvPicPr>
        <xdr:cNvPr id="77" name="Picture 76">
          <a:extLst>
            <a:ext uri="{FF2B5EF4-FFF2-40B4-BE49-F238E27FC236}">
              <a16:creationId xmlns:a16="http://schemas.microsoft.com/office/drawing/2014/main" id="{940E9BA5-E706-431F-BC1E-C077F6341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2162" y="43789257"/>
          <a:ext cx="1433041" cy="844550"/>
        </a:xfrm>
        <a:prstGeom prst="rect">
          <a:avLst/>
        </a:prstGeom>
        <a:noFill/>
        <a:ln>
          <a:noFill/>
        </a:ln>
      </xdr:spPr>
    </xdr:pic>
    <xdr:clientData/>
  </xdr:oneCellAnchor>
  <xdr:oneCellAnchor>
    <xdr:from>
      <xdr:col>4</xdr:col>
      <xdr:colOff>0</xdr:colOff>
      <xdr:row>39</xdr:row>
      <xdr:rowOff>0</xdr:rowOff>
    </xdr:from>
    <xdr:ext cx="1460500" cy="853793"/>
    <xdr:pic>
      <xdr:nvPicPr>
        <xdr:cNvPr id="78" name="Picture 77">
          <a:extLst>
            <a:ext uri="{FF2B5EF4-FFF2-40B4-BE49-F238E27FC236}">
              <a16:creationId xmlns:a16="http://schemas.microsoft.com/office/drawing/2014/main" id="{57A955CC-E1DF-4A56-9903-01C689A62E3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902450" y="23983950"/>
          <a:ext cx="1460500" cy="853793"/>
        </a:xfrm>
        <a:prstGeom prst="rect">
          <a:avLst/>
        </a:prstGeom>
        <a:noFill/>
        <a:ln>
          <a:noFill/>
        </a:ln>
      </xdr:spPr>
    </xdr:pic>
    <xdr:clientData/>
  </xdr:oneCellAnchor>
  <xdr:oneCellAnchor>
    <xdr:from>
      <xdr:col>6</xdr:col>
      <xdr:colOff>0</xdr:colOff>
      <xdr:row>39</xdr:row>
      <xdr:rowOff>0</xdr:rowOff>
    </xdr:from>
    <xdr:ext cx="1471295" cy="844550"/>
    <xdr:pic>
      <xdr:nvPicPr>
        <xdr:cNvPr id="79" name="Picture 78">
          <a:extLst>
            <a:ext uri="{FF2B5EF4-FFF2-40B4-BE49-F238E27FC236}">
              <a16:creationId xmlns:a16="http://schemas.microsoft.com/office/drawing/2014/main" id="{CE4DE9F2-6D63-4914-9E18-AE9C199550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37700" y="23983950"/>
          <a:ext cx="1471295" cy="844550"/>
        </a:xfrm>
        <a:prstGeom prst="rect">
          <a:avLst/>
        </a:prstGeom>
        <a:noFill/>
        <a:ln>
          <a:noFill/>
        </a:ln>
      </xdr:spPr>
    </xdr:pic>
    <xdr:clientData/>
  </xdr:oneCellAnchor>
  <xdr:oneCellAnchor>
    <xdr:from>
      <xdr:col>2</xdr:col>
      <xdr:colOff>0</xdr:colOff>
      <xdr:row>40</xdr:row>
      <xdr:rowOff>0</xdr:rowOff>
    </xdr:from>
    <xdr:ext cx="1415879" cy="868680"/>
    <xdr:pic>
      <xdr:nvPicPr>
        <xdr:cNvPr id="80" name="Picture 79">
          <a:extLst>
            <a:ext uri="{FF2B5EF4-FFF2-40B4-BE49-F238E27FC236}">
              <a16:creationId xmlns:a16="http://schemas.microsoft.com/office/drawing/2014/main" id="{D27FD979-EABE-4DD4-B122-CB6D761DAC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44990608"/>
          <a:ext cx="1415879" cy="868680"/>
        </a:xfrm>
        <a:prstGeom prst="rect">
          <a:avLst/>
        </a:prstGeom>
        <a:noFill/>
        <a:ln>
          <a:noFill/>
        </a:ln>
      </xdr:spPr>
    </xdr:pic>
    <xdr:clientData/>
  </xdr:oneCellAnchor>
  <xdr:oneCellAnchor>
    <xdr:from>
      <xdr:col>4</xdr:col>
      <xdr:colOff>0</xdr:colOff>
      <xdr:row>40</xdr:row>
      <xdr:rowOff>0</xdr:rowOff>
    </xdr:from>
    <xdr:ext cx="1485900" cy="868680"/>
    <xdr:pic>
      <xdr:nvPicPr>
        <xdr:cNvPr id="81" name="Picture 80">
          <a:extLst>
            <a:ext uri="{FF2B5EF4-FFF2-40B4-BE49-F238E27FC236}">
              <a16:creationId xmlns:a16="http://schemas.microsoft.com/office/drawing/2014/main" id="{C28EF01E-16B5-4F2E-8E22-BC01C8748EC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327900" y="9988550"/>
          <a:ext cx="1485900" cy="868680"/>
        </a:xfrm>
        <a:prstGeom prst="rect">
          <a:avLst/>
        </a:prstGeom>
        <a:noFill/>
        <a:ln>
          <a:noFill/>
        </a:ln>
      </xdr:spPr>
    </xdr:pic>
    <xdr:clientData/>
  </xdr:oneCellAnchor>
  <xdr:oneCellAnchor>
    <xdr:from>
      <xdr:col>2</xdr:col>
      <xdr:colOff>0</xdr:colOff>
      <xdr:row>41</xdr:row>
      <xdr:rowOff>0</xdr:rowOff>
    </xdr:from>
    <xdr:ext cx="1390135" cy="868680"/>
    <xdr:pic>
      <xdr:nvPicPr>
        <xdr:cNvPr id="82" name="Picture 81">
          <a:extLst>
            <a:ext uri="{FF2B5EF4-FFF2-40B4-BE49-F238E27FC236}">
              <a16:creationId xmlns:a16="http://schemas.microsoft.com/office/drawing/2014/main" id="{67F78D4B-C127-42B3-8036-7458BC0109A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46191959"/>
          <a:ext cx="1390135" cy="868680"/>
        </a:xfrm>
        <a:prstGeom prst="rect">
          <a:avLst/>
        </a:prstGeom>
        <a:noFill/>
        <a:ln>
          <a:noFill/>
        </a:ln>
      </xdr:spPr>
    </xdr:pic>
    <xdr:clientData/>
  </xdr:oneCellAnchor>
  <xdr:oneCellAnchor>
    <xdr:from>
      <xdr:col>4</xdr:col>
      <xdr:colOff>0</xdr:colOff>
      <xdr:row>41</xdr:row>
      <xdr:rowOff>0</xdr:rowOff>
    </xdr:from>
    <xdr:ext cx="1485900" cy="868680"/>
    <xdr:pic>
      <xdr:nvPicPr>
        <xdr:cNvPr id="83" name="Picture 82">
          <a:extLst>
            <a:ext uri="{FF2B5EF4-FFF2-40B4-BE49-F238E27FC236}">
              <a16:creationId xmlns:a16="http://schemas.microsoft.com/office/drawing/2014/main" id="{D605A0B3-03ED-4A32-AB2F-F28C16B563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315200" y="9988550"/>
          <a:ext cx="1485900" cy="868680"/>
        </a:xfrm>
        <a:prstGeom prst="rect">
          <a:avLst/>
        </a:prstGeom>
        <a:noFill/>
        <a:ln>
          <a:noFill/>
        </a:ln>
      </xdr:spPr>
    </xdr:pic>
    <xdr:clientData/>
  </xdr:oneCellAnchor>
  <xdr:oneCellAnchor>
    <xdr:from>
      <xdr:col>2</xdr:col>
      <xdr:colOff>0</xdr:colOff>
      <xdr:row>42</xdr:row>
      <xdr:rowOff>0</xdr:rowOff>
    </xdr:from>
    <xdr:ext cx="1485900" cy="868680"/>
    <xdr:pic>
      <xdr:nvPicPr>
        <xdr:cNvPr id="84" name="Picture 83">
          <a:extLst>
            <a:ext uri="{FF2B5EF4-FFF2-40B4-BE49-F238E27FC236}">
              <a16:creationId xmlns:a16="http://schemas.microsoft.com/office/drawing/2014/main" id="{AC7034D9-A01C-482B-BA7C-A4F7560D41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949700" y="19380200"/>
          <a:ext cx="1485900" cy="868680"/>
        </a:xfrm>
        <a:prstGeom prst="rect">
          <a:avLst/>
        </a:prstGeom>
        <a:noFill/>
        <a:ln>
          <a:noFill/>
        </a:ln>
      </xdr:spPr>
    </xdr:pic>
    <xdr:clientData/>
  </xdr:oneCellAnchor>
  <xdr:oneCellAnchor>
    <xdr:from>
      <xdr:col>4</xdr:col>
      <xdr:colOff>0</xdr:colOff>
      <xdr:row>42</xdr:row>
      <xdr:rowOff>0</xdr:rowOff>
    </xdr:from>
    <xdr:ext cx="1485900" cy="868680"/>
    <xdr:pic>
      <xdr:nvPicPr>
        <xdr:cNvPr id="85" name="Picture 84">
          <a:extLst>
            <a:ext uri="{FF2B5EF4-FFF2-40B4-BE49-F238E27FC236}">
              <a16:creationId xmlns:a16="http://schemas.microsoft.com/office/drawing/2014/main" id="{5260F2A0-6DD1-45FF-BCE0-ED40EE2C95F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302500" y="19380200"/>
          <a:ext cx="1485900" cy="868680"/>
        </a:xfrm>
        <a:prstGeom prst="rect">
          <a:avLst/>
        </a:prstGeom>
        <a:noFill/>
        <a:ln>
          <a:noFill/>
        </a:ln>
      </xdr:spPr>
    </xdr:pic>
    <xdr:clientData/>
  </xdr:oneCellAnchor>
  <xdr:oneCellAnchor>
    <xdr:from>
      <xdr:col>2</xdr:col>
      <xdr:colOff>0</xdr:colOff>
      <xdr:row>43</xdr:row>
      <xdr:rowOff>0</xdr:rowOff>
    </xdr:from>
    <xdr:ext cx="1485900" cy="868680"/>
    <xdr:pic>
      <xdr:nvPicPr>
        <xdr:cNvPr id="86" name="Picture 85">
          <a:extLst>
            <a:ext uri="{FF2B5EF4-FFF2-40B4-BE49-F238E27FC236}">
              <a16:creationId xmlns:a16="http://schemas.microsoft.com/office/drawing/2014/main" id="{5C02655D-319E-4957-9676-60E2C24207C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92550" y="9880600"/>
          <a:ext cx="1485900" cy="868680"/>
        </a:xfrm>
        <a:prstGeom prst="rect">
          <a:avLst/>
        </a:prstGeom>
        <a:noFill/>
        <a:ln>
          <a:noFill/>
        </a:ln>
      </xdr:spPr>
    </xdr:pic>
    <xdr:clientData/>
  </xdr:oneCellAnchor>
  <xdr:oneCellAnchor>
    <xdr:from>
      <xdr:col>4</xdr:col>
      <xdr:colOff>0</xdr:colOff>
      <xdr:row>43</xdr:row>
      <xdr:rowOff>0</xdr:rowOff>
    </xdr:from>
    <xdr:ext cx="1485900" cy="868680"/>
    <xdr:pic>
      <xdr:nvPicPr>
        <xdr:cNvPr id="87" name="Picture 86">
          <a:extLst>
            <a:ext uri="{FF2B5EF4-FFF2-40B4-BE49-F238E27FC236}">
              <a16:creationId xmlns:a16="http://schemas.microsoft.com/office/drawing/2014/main" id="{3EF4B6D4-6AAE-4224-AE3F-569080D754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283450" y="9880600"/>
          <a:ext cx="1485900" cy="868680"/>
        </a:xfrm>
        <a:prstGeom prst="rect">
          <a:avLst/>
        </a:prstGeom>
        <a:noFill/>
        <a:ln>
          <a:noFill/>
        </a:ln>
      </xdr:spPr>
    </xdr:pic>
    <xdr:clientData/>
  </xdr:oneCellAnchor>
  <xdr:oneCellAnchor>
    <xdr:from>
      <xdr:col>2</xdr:col>
      <xdr:colOff>0</xdr:colOff>
      <xdr:row>44</xdr:row>
      <xdr:rowOff>0</xdr:rowOff>
    </xdr:from>
    <xdr:ext cx="1424460" cy="868680"/>
    <xdr:pic>
      <xdr:nvPicPr>
        <xdr:cNvPr id="88" name="Picture 87">
          <a:extLst>
            <a:ext uri="{FF2B5EF4-FFF2-40B4-BE49-F238E27FC236}">
              <a16:creationId xmlns:a16="http://schemas.microsoft.com/office/drawing/2014/main" id="{AF7992BE-1B48-41E8-B511-F353753568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49796014"/>
          <a:ext cx="1424460" cy="868680"/>
        </a:xfrm>
        <a:prstGeom prst="rect">
          <a:avLst/>
        </a:prstGeom>
        <a:noFill/>
        <a:ln>
          <a:noFill/>
        </a:ln>
      </xdr:spPr>
    </xdr:pic>
    <xdr:clientData/>
  </xdr:oneCellAnchor>
  <xdr:oneCellAnchor>
    <xdr:from>
      <xdr:col>4</xdr:col>
      <xdr:colOff>0</xdr:colOff>
      <xdr:row>44</xdr:row>
      <xdr:rowOff>0</xdr:rowOff>
    </xdr:from>
    <xdr:ext cx="1485900" cy="868680"/>
    <xdr:pic>
      <xdr:nvPicPr>
        <xdr:cNvPr id="89" name="Picture 88">
          <a:extLst>
            <a:ext uri="{FF2B5EF4-FFF2-40B4-BE49-F238E27FC236}">
              <a16:creationId xmlns:a16="http://schemas.microsoft.com/office/drawing/2014/main" id="{3EC56C9C-750E-4790-A9A6-42DB5DBEC5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226300" y="10356850"/>
          <a:ext cx="1485900" cy="868680"/>
        </a:xfrm>
        <a:prstGeom prst="rect">
          <a:avLst/>
        </a:prstGeom>
        <a:noFill/>
        <a:ln>
          <a:noFill/>
        </a:ln>
      </xdr:spPr>
    </xdr:pic>
    <xdr:clientData/>
  </xdr:oneCellAnchor>
  <xdr:oneCellAnchor>
    <xdr:from>
      <xdr:col>2</xdr:col>
      <xdr:colOff>0</xdr:colOff>
      <xdr:row>45</xdr:row>
      <xdr:rowOff>0</xdr:rowOff>
    </xdr:from>
    <xdr:ext cx="1355811" cy="868680"/>
    <xdr:pic>
      <xdr:nvPicPr>
        <xdr:cNvPr id="90" name="Picture 89">
          <a:extLst>
            <a:ext uri="{FF2B5EF4-FFF2-40B4-BE49-F238E27FC236}">
              <a16:creationId xmlns:a16="http://schemas.microsoft.com/office/drawing/2014/main" id="{1CE59997-169F-482C-B6D3-EB847EEA7E4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50997365"/>
          <a:ext cx="1355811" cy="868680"/>
        </a:xfrm>
        <a:prstGeom prst="rect">
          <a:avLst/>
        </a:prstGeom>
        <a:noFill/>
        <a:ln>
          <a:noFill/>
        </a:ln>
      </xdr:spPr>
    </xdr:pic>
    <xdr:clientData/>
  </xdr:oneCellAnchor>
  <xdr:oneCellAnchor>
    <xdr:from>
      <xdr:col>4</xdr:col>
      <xdr:colOff>0</xdr:colOff>
      <xdr:row>45</xdr:row>
      <xdr:rowOff>0</xdr:rowOff>
    </xdr:from>
    <xdr:ext cx="1485900" cy="868680"/>
    <xdr:pic>
      <xdr:nvPicPr>
        <xdr:cNvPr id="91" name="Picture 90">
          <a:extLst>
            <a:ext uri="{FF2B5EF4-FFF2-40B4-BE49-F238E27FC236}">
              <a16:creationId xmlns:a16="http://schemas.microsoft.com/office/drawing/2014/main" id="{4BBDDDDF-BFE6-49E1-A89D-8E9DFC3AA8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08800" y="10356850"/>
          <a:ext cx="1485900" cy="868680"/>
        </a:xfrm>
        <a:prstGeom prst="rect">
          <a:avLst/>
        </a:prstGeom>
        <a:noFill/>
        <a:ln>
          <a:noFill/>
        </a:ln>
      </xdr:spPr>
    </xdr:pic>
    <xdr:clientData/>
  </xdr:oneCellAnchor>
  <xdr:oneCellAnchor>
    <xdr:from>
      <xdr:col>2</xdr:col>
      <xdr:colOff>0</xdr:colOff>
      <xdr:row>46</xdr:row>
      <xdr:rowOff>0</xdr:rowOff>
    </xdr:from>
    <xdr:ext cx="1433041" cy="868680"/>
    <xdr:pic>
      <xdr:nvPicPr>
        <xdr:cNvPr id="92" name="Picture 91">
          <a:extLst>
            <a:ext uri="{FF2B5EF4-FFF2-40B4-BE49-F238E27FC236}">
              <a16:creationId xmlns:a16="http://schemas.microsoft.com/office/drawing/2014/main" id="{7D092B6C-B32A-4692-9E2D-CDB3A36B63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462162" y="52198716"/>
          <a:ext cx="1433041" cy="868680"/>
        </a:xfrm>
        <a:prstGeom prst="rect">
          <a:avLst/>
        </a:prstGeom>
        <a:noFill/>
        <a:ln>
          <a:noFill/>
        </a:ln>
      </xdr:spPr>
    </xdr:pic>
    <xdr:clientData/>
  </xdr:oneCellAnchor>
  <xdr:oneCellAnchor>
    <xdr:from>
      <xdr:col>4</xdr:col>
      <xdr:colOff>0</xdr:colOff>
      <xdr:row>46</xdr:row>
      <xdr:rowOff>0</xdr:rowOff>
    </xdr:from>
    <xdr:ext cx="1485900" cy="868680"/>
    <xdr:pic>
      <xdr:nvPicPr>
        <xdr:cNvPr id="93" name="Picture 92">
          <a:extLst>
            <a:ext uri="{FF2B5EF4-FFF2-40B4-BE49-F238E27FC236}">
              <a16:creationId xmlns:a16="http://schemas.microsoft.com/office/drawing/2014/main" id="{7E9E3BFE-55A6-4987-9223-1BFED395199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77050" y="10356850"/>
          <a:ext cx="1485900" cy="86868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83155</xdr:colOff>
      <xdr:row>78</xdr:row>
      <xdr:rowOff>75595</xdr:rowOff>
    </xdr:from>
    <xdr:to>
      <xdr:col>2</xdr:col>
      <xdr:colOff>15119</xdr:colOff>
      <xdr:row>78</xdr:row>
      <xdr:rowOff>1368274</xdr:rowOff>
    </xdr:to>
    <xdr:pic>
      <xdr:nvPicPr>
        <xdr:cNvPr id="2" name="Picture 1">
          <a:extLst>
            <a:ext uri="{FF2B5EF4-FFF2-40B4-BE49-F238E27FC236}">
              <a16:creationId xmlns:a16="http://schemas.microsoft.com/office/drawing/2014/main" id="{045C1190-D391-4E2B-B143-079CC475BA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5893" y="16895535"/>
          <a:ext cx="1731131" cy="1292679"/>
        </a:xfrm>
        <a:prstGeom prst="rect">
          <a:avLst/>
        </a:prstGeom>
        <a:noFill/>
        <a:ln>
          <a:noFill/>
        </a:ln>
      </xdr:spPr>
    </xdr:pic>
    <xdr:clientData/>
  </xdr:twoCellAnchor>
  <xdr:twoCellAnchor editAs="oneCell">
    <xdr:from>
      <xdr:col>3</xdr:col>
      <xdr:colOff>37798</xdr:colOff>
      <xdr:row>78</xdr:row>
      <xdr:rowOff>120952</xdr:rowOff>
    </xdr:from>
    <xdr:to>
      <xdr:col>3</xdr:col>
      <xdr:colOff>1536125</xdr:colOff>
      <xdr:row>78</xdr:row>
      <xdr:rowOff>1378887</xdr:rowOff>
    </xdr:to>
    <xdr:pic>
      <xdr:nvPicPr>
        <xdr:cNvPr id="3" name="Picture 2">
          <a:extLst>
            <a:ext uri="{FF2B5EF4-FFF2-40B4-BE49-F238E27FC236}">
              <a16:creationId xmlns:a16="http://schemas.microsoft.com/office/drawing/2014/main" id="{88730819-BEB5-48F5-B224-6E109D28CE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19346" y="16940892"/>
          <a:ext cx="1498327" cy="1257935"/>
        </a:xfrm>
        <a:prstGeom prst="rect">
          <a:avLst/>
        </a:prstGeom>
        <a:noFill/>
        <a:ln>
          <a:noFill/>
        </a:ln>
      </xdr:spPr>
    </xdr:pic>
    <xdr:clientData/>
  </xdr:twoCellAnchor>
  <xdr:twoCellAnchor editAs="oneCell">
    <xdr:from>
      <xdr:col>5</xdr:col>
      <xdr:colOff>45357</xdr:colOff>
      <xdr:row>78</xdr:row>
      <xdr:rowOff>166309</xdr:rowOff>
    </xdr:from>
    <xdr:to>
      <xdr:col>5</xdr:col>
      <xdr:colOff>1531529</xdr:colOff>
      <xdr:row>78</xdr:row>
      <xdr:rowOff>1391224</xdr:rowOff>
    </xdr:to>
    <xdr:pic>
      <xdr:nvPicPr>
        <xdr:cNvPr id="4" name="Picture 3">
          <a:extLst>
            <a:ext uri="{FF2B5EF4-FFF2-40B4-BE49-F238E27FC236}">
              <a16:creationId xmlns:a16="http://schemas.microsoft.com/office/drawing/2014/main" id="{EDEC6CC6-3411-46CE-A5B5-5F09688E28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71012" y="16986249"/>
          <a:ext cx="1486172" cy="122491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1</xdr:col>
      <xdr:colOff>1604645</xdr:colOff>
      <xdr:row>87</xdr:row>
      <xdr:rowOff>958850</xdr:rowOff>
    </xdr:to>
    <xdr:pic>
      <xdr:nvPicPr>
        <xdr:cNvPr id="2" name="Picture 1">
          <a:extLst>
            <a:ext uri="{FF2B5EF4-FFF2-40B4-BE49-F238E27FC236}">
              <a16:creationId xmlns:a16="http://schemas.microsoft.com/office/drawing/2014/main" id="{E9AE9E86-DA7A-48BE-AC4A-C2A1ACF1A2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8643600"/>
          <a:ext cx="1604645" cy="958850"/>
        </a:xfrm>
        <a:prstGeom prst="rect">
          <a:avLst/>
        </a:prstGeom>
        <a:noFill/>
        <a:ln>
          <a:noFill/>
        </a:ln>
      </xdr:spPr>
    </xdr:pic>
    <xdr:clientData/>
  </xdr:twoCellAnchor>
  <xdr:oneCellAnchor>
    <xdr:from>
      <xdr:col>3</xdr:col>
      <xdr:colOff>19050</xdr:colOff>
      <xdr:row>87</xdr:row>
      <xdr:rowOff>12700</xdr:rowOff>
    </xdr:from>
    <xdr:ext cx="1543050" cy="946150"/>
    <xdr:pic>
      <xdr:nvPicPr>
        <xdr:cNvPr id="3" name="Picture 2">
          <a:extLst>
            <a:ext uri="{FF2B5EF4-FFF2-40B4-BE49-F238E27FC236}">
              <a16:creationId xmlns:a16="http://schemas.microsoft.com/office/drawing/2014/main" id="{2395678E-A0AC-44F4-B0ED-226AB0C9F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29450" y="18656300"/>
          <a:ext cx="1543050" cy="9461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1</xdr:col>
      <xdr:colOff>1778635</xdr:colOff>
      <xdr:row>103</xdr:row>
      <xdr:rowOff>831850</xdr:rowOff>
    </xdr:to>
    <xdr:pic>
      <xdr:nvPicPr>
        <xdr:cNvPr id="2" name="Picture 1">
          <a:extLst>
            <a:ext uri="{FF2B5EF4-FFF2-40B4-BE49-F238E27FC236}">
              <a16:creationId xmlns:a16="http://schemas.microsoft.com/office/drawing/2014/main" id="{75BB0271-C951-43D5-AC5D-44F4C46E5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1590000"/>
          <a:ext cx="1778635" cy="831850"/>
        </a:xfrm>
        <a:prstGeom prst="rect">
          <a:avLst/>
        </a:prstGeom>
        <a:noFill/>
        <a:ln>
          <a:noFill/>
        </a:ln>
      </xdr:spPr>
    </xdr:pic>
    <xdr:clientData/>
  </xdr:twoCellAnchor>
  <xdr:twoCellAnchor editAs="oneCell">
    <xdr:from>
      <xdr:col>3</xdr:col>
      <xdr:colOff>57151</xdr:colOff>
      <xdr:row>103</xdr:row>
      <xdr:rowOff>23127</xdr:rowOff>
    </xdr:from>
    <xdr:to>
      <xdr:col>3</xdr:col>
      <xdr:colOff>1504950</xdr:colOff>
      <xdr:row>103</xdr:row>
      <xdr:rowOff>814991</xdr:rowOff>
    </xdr:to>
    <xdr:pic>
      <xdr:nvPicPr>
        <xdr:cNvPr id="4" name="Picture 3">
          <a:extLst>
            <a:ext uri="{FF2B5EF4-FFF2-40B4-BE49-F238E27FC236}">
              <a16:creationId xmlns:a16="http://schemas.microsoft.com/office/drawing/2014/main" id="{5772E9D0-8320-4B4B-B2A7-1E69D1643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26301" y="21613127"/>
          <a:ext cx="1447799" cy="791864"/>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1</xdr:col>
      <xdr:colOff>1637030</xdr:colOff>
      <xdr:row>109</xdr:row>
      <xdr:rowOff>730250</xdr:rowOff>
    </xdr:to>
    <xdr:pic>
      <xdr:nvPicPr>
        <xdr:cNvPr id="2" name="Picture 1">
          <a:extLst>
            <a:ext uri="{FF2B5EF4-FFF2-40B4-BE49-F238E27FC236}">
              <a16:creationId xmlns:a16="http://schemas.microsoft.com/office/drawing/2014/main" id="{F07F6F10-7C33-4DC4-B624-05BA5D6A4A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2694900"/>
          <a:ext cx="1637030" cy="730250"/>
        </a:xfrm>
        <a:prstGeom prst="rect">
          <a:avLst/>
        </a:prstGeom>
        <a:noFill/>
        <a:ln>
          <a:noFill/>
        </a:ln>
      </xdr:spPr>
    </xdr:pic>
    <xdr:clientData/>
  </xdr:twoCellAnchor>
  <xdr:twoCellAnchor editAs="oneCell">
    <xdr:from>
      <xdr:col>3</xdr:col>
      <xdr:colOff>0</xdr:colOff>
      <xdr:row>109</xdr:row>
      <xdr:rowOff>0</xdr:rowOff>
    </xdr:from>
    <xdr:to>
      <xdr:col>3</xdr:col>
      <xdr:colOff>1499235</xdr:colOff>
      <xdr:row>110</xdr:row>
      <xdr:rowOff>0</xdr:rowOff>
    </xdr:to>
    <xdr:pic>
      <xdr:nvPicPr>
        <xdr:cNvPr id="3" name="Picture 2">
          <a:extLst>
            <a:ext uri="{FF2B5EF4-FFF2-40B4-BE49-F238E27FC236}">
              <a16:creationId xmlns:a16="http://schemas.microsoft.com/office/drawing/2014/main" id="{0EA026A6-7C74-481F-9D61-821C63B10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92950" y="22694900"/>
          <a:ext cx="1499235" cy="73660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85</xdr:row>
      <xdr:rowOff>50800</xdr:rowOff>
    </xdr:from>
    <xdr:to>
      <xdr:col>1</xdr:col>
      <xdr:colOff>1651000</xdr:colOff>
      <xdr:row>86</xdr:row>
      <xdr:rowOff>12700</xdr:rowOff>
    </xdr:to>
    <xdr:pic>
      <xdr:nvPicPr>
        <xdr:cNvPr id="2" name="Picture 1">
          <a:extLst>
            <a:ext uri="{FF2B5EF4-FFF2-40B4-BE49-F238E27FC236}">
              <a16:creationId xmlns:a16="http://schemas.microsoft.com/office/drawing/2014/main" id="{38904D05-3AC7-49F6-8506-E460890D4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8326100"/>
          <a:ext cx="1651000" cy="1073150"/>
        </a:xfrm>
        <a:prstGeom prst="rect">
          <a:avLst/>
        </a:prstGeom>
        <a:noFill/>
        <a:ln>
          <a:noFill/>
        </a:ln>
      </xdr:spPr>
    </xdr:pic>
    <xdr:clientData/>
  </xdr:twoCellAnchor>
  <xdr:twoCellAnchor editAs="oneCell">
    <xdr:from>
      <xdr:col>3</xdr:col>
      <xdr:colOff>0</xdr:colOff>
      <xdr:row>85</xdr:row>
      <xdr:rowOff>31750</xdr:rowOff>
    </xdr:from>
    <xdr:to>
      <xdr:col>3</xdr:col>
      <xdr:colOff>1827478</xdr:colOff>
      <xdr:row>85</xdr:row>
      <xdr:rowOff>1085850</xdr:rowOff>
    </xdr:to>
    <xdr:pic>
      <xdr:nvPicPr>
        <xdr:cNvPr id="3" name="Picture 2">
          <a:extLst>
            <a:ext uri="{FF2B5EF4-FFF2-40B4-BE49-F238E27FC236}">
              <a16:creationId xmlns:a16="http://schemas.microsoft.com/office/drawing/2014/main" id="{E3DF14AE-81E4-4326-8C8E-0A0DF5F6C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1050" y="18307050"/>
          <a:ext cx="1827478" cy="10541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1</xdr:col>
      <xdr:colOff>1637030</xdr:colOff>
      <xdr:row>72</xdr:row>
      <xdr:rowOff>774700</xdr:rowOff>
    </xdr:to>
    <xdr:pic>
      <xdr:nvPicPr>
        <xdr:cNvPr id="2" name="Picture 1">
          <a:extLst>
            <a:ext uri="{FF2B5EF4-FFF2-40B4-BE49-F238E27FC236}">
              <a16:creationId xmlns:a16="http://schemas.microsoft.com/office/drawing/2014/main" id="{535E1A22-11CF-4575-AC0B-7F2DB04B3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5881350"/>
          <a:ext cx="1637030" cy="774700"/>
        </a:xfrm>
        <a:prstGeom prst="rect">
          <a:avLst/>
        </a:prstGeom>
        <a:noFill/>
        <a:ln>
          <a:noFill/>
        </a:ln>
      </xdr:spPr>
    </xdr:pic>
    <xdr:clientData/>
  </xdr:twoCellAnchor>
  <xdr:twoCellAnchor editAs="oneCell">
    <xdr:from>
      <xdr:col>3</xdr:col>
      <xdr:colOff>0</xdr:colOff>
      <xdr:row>72</xdr:row>
      <xdr:rowOff>0</xdr:rowOff>
    </xdr:from>
    <xdr:to>
      <xdr:col>3</xdr:col>
      <xdr:colOff>1499235</xdr:colOff>
      <xdr:row>72</xdr:row>
      <xdr:rowOff>787400</xdr:rowOff>
    </xdr:to>
    <xdr:pic>
      <xdr:nvPicPr>
        <xdr:cNvPr id="3" name="Picture 2">
          <a:extLst>
            <a:ext uri="{FF2B5EF4-FFF2-40B4-BE49-F238E27FC236}">
              <a16:creationId xmlns:a16="http://schemas.microsoft.com/office/drawing/2014/main" id="{663F17C2-B041-4EF7-AF6E-862BEC519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54850" y="15881350"/>
          <a:ext cx="1499235" cy="7874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1</xdr:col>
      <xdr:colOff>1637030</xdr:colOff>
      <xdr:row>99</xdr:row>
      <xdr:rowOff>958850</xdr:rowOff>
    </xdr:to>
    <xdr:pic>
      <xdr:nvPicPr>
        <xdr:cNvPr id="2" name="Picture 1">
          <a:extLst>
            <a:ext uri="{FF2B5EF4-FFF2-40B4-BE49-F238E27FC236}">
              <a16:creationId xmlns:a16="http://schemas.microsoft.com/office/drawing/2014/main" id="{B3C5A4DE-38EE-4E72-9F28-1C4DD62853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0853400"/>
          <a:ext cx="1637030" cy="958850"/>
        </a:xfrm>
        <a:prstGeom prst="rect">
          <a:avLst/>
        </a:prstGeom>
        <a:noFill/>
        <a:ln>
          <a:noFill/>
        </a:ln>
      </xdr:spPr>
    </xdr:pic>
    <xdr:clientData/>
  </xdr:twoCellAnchor>
  <xdr:twoCellAnchor editAs="oneCell">
    <xdr:from>
      <xdr:col>3</xdr:col>
      <xdr:colOff>0</xdr:colOff>
      <xdr:row>99</xdr:row>
      <xdr:rowOff>0</xdr:rowOff>
    </xdr:from>
    <xdr:to>
      <xdr:col>4</xdr:col>
      <xdr:colOff>13335</xdr:colOff>
      <xdr:row>99</xdr:row>
      <xdr:rowOff>958850</xdr:rowOff>
    </xdr:to>
    <xdr:pic>
      <xdr:nvPicPr>
        <xdr:cNvPr id="3" name="Picture 2">
          <a:extLst>
            <a:ext uri="{FF2B5EF4-FFF2-40B4-BE49-F238E27FC236}">
              <a16:creationId xmlns:a16="http://schemas.microsoft.com/office/drawing/2014/main" id="{8CB4CAA2-FB2D-4F9A-83F9-A095E9396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73900" y="20853400"/>
          <a:ext cx="1499235" cy="958850"/>
        </a:xfrm>
        <a:prstGeom prst="rect">
          <a:avLst/>
        </a:prstGeom>
        <a:noFill/>
        <a:ln>
          <a:noFill/>
        </a:ln>
      </xdr:spPr>
    </xdr:pic>
    <xdr:clientData/>
  </xdr:twoCellAnchor>
  <xdr:oneCellAnchor>
    <xdr:from>
      <xdr:col>5</xdr:col>
      <xdr:colOff>0</xdr:colOff>
      <xdr:row>99</xdr:row>
      <xdr:rowOff>0</xdr:rowOff>
    </xdr:from>
    <xdr:ext cx="1516380" cy="886460"/>
    <xdr:pic>
      <xdr:nvPicPr>
        <xdr:cNvPr id="4" name="Picture 3">
          <a:extLst>
            <a:ext uri="{FF2B5EF4-FFF2-40B4-BE49-F238E27FC236}">
              <a16:creationId xmlns:a16="http://schemas.microsoft.com/office/drawing/2014/main" id="{8ED548BB-5596-40E0-9094-4C5DE94940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45550" y="20853400"/>
          <a:ext cx="1516380" cy="88646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65</xdr:row>
      <xdr:rowOff>0</xdr:rowOff>
    </xdr:from>
    <xdr:to>
      <xdr:col>1</xdr:col>
      <xdr:colOff>1637030</xdr:colOff>
      <xdr:row>65</xdr:row>
      <xdr:rowOff>958850</xdr:rowOff>
    </xdr:to>
    <xdr:pic>
      <xdr:nvPicPr>
        <xdr:cNvPr id="2" name="Picture 1">
          <a:extLst>
            <a:ext uri="{FF2B5EF4-FFF2-40B4-BE49-F238E27FC236}">
              <a16:creationId xmlns:a16="http://schemas.microsoft.com/office/drawing/2014/main" id="{6B6BFC0A-072D-4ABF-9690-05D31168B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6800" y="14592300"/>
          <a:ext cx="1637030" cy="958850"/>
        </a:xfrm>
        <a:prstGeom prst="rect">
          <a:avLst/>
        </a:prstGeom>
        <a:noFill/>
        <a:ln>
          <a:noFill/>
        </a:ln>
      </xdr:spPr>
    </xdr:pic>
    <xdr:clientData/>
  </xdr:twoCellAnchor>
  <xdr:twoCellAnchor editAs="oneCell">
    <xdr:from>
      <xdr:col>3</xdr:col>
      <xdr:colOff>0</xdr:colOff>
      <xdr:row>65</xdr:row>
      <xdr:rowOff>0</xdr:rowOff>
    </xdr:from>
    <xdr:to>
      <xdr:col>3</xdr:col>
      <xdr:colOff>1637030</xdr:colOff>
      <xdr:row>65</xdr:row>
      <xdr:rowOff>958850</xdr:rowOff>
    </xdr:to>
    <xdr:pic>
      <xdr:nvPicPr>
        <xdr:cNvPr id="3" name="Picture 2">
          <a:extLst>
            <a:ext uri="{FF2B5EF4-FFF2-40B4-BE49-F238E27FC236}">
              <a16:creationId xmlns:a16="http://schemas.microsoft.com/office/drawing/2014/main" id="{075223BA-A597-49B2-9EB4-D6D3A8E17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1950" y="14592300"/>
          <a:ext cx="1637030" cy="95885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1637030</xdr:colOff>
      <xdr:row>61</xdr:row>
      <xdr:rowOff>958850</xdr:rowOff>
    </xdr:to>
    <xdr:pic>
      <xdr:nvPicPr>
        <xdr:cNvPr id="2" name="Picture 1">
          <a:extLst>
            <a:ext uri="{FF2B5EF4-FFF2-40B4-BE49-F238E27FC236}">
              <a16:creationId xmlns:a16="http://schemas.microsoft.com/office/drawing/2014/main" id="{35F3C844-BD69-449C-95C2-DC6EB10EEF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32200" y="13855700"/>
          <a:ext cx="1637030" cy="958850"/>
        </a:xfrm>
        <a:prstGeom prst="rect">
          <a:avLst/>
        </a:prstGeom>
        <a:noFill/>
        <a:ln>
          <a:noFill/>
        </a:ln>
      </xdr:spPr>
    </xdr:pic>
    <xdr:clientData/>
  </xdr:twoCellAnchor>
  <xdr:twoCellAnchor editAs="oneCell">
    <xdr:from>
      <xdr:col>3</xdr:col>
      <xdr:colOff>0</xdr:colOff>
      <xdr:row>61</xdr:row>
      <xdr:rowOff>0</xdr:rowOff>
    </xdr:from>
    <xdr:to>
      <xdr:col>3</xdr:col>
      <xdr:colOff>1637030</xdr:colOff>
      <xdr:row>61</xdr:row>
      <xdr:rowOff>958850</xdr:rowOff>
    </xdr:to>
    <xdr:pic>
      <xdr:nvPicPr>
        <xdr:cNvPr id="3" name="Picture 2">
          <a:extLst>
            <a:ext uri="{FF2B5EF4-FFF2-40B4-BE49-F238E27FC236}">
              <a16:creationId xmlns:a16="http://schemas.microsoft.com/office/drawing/2014/main" id="{02B8E17F-9C07-49E4-8EA7-A68B4FF90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7350" y="13855700"/>
          <a:ext cx="1637030" cy="95885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3517900</xdr:colOff>
      <xdr:row>97</xdr:row>
      <xdr:rowOff>0</xdr:rowOff>
    </xdr:from>
    <xdr:to>
      <xdr:col>1</xdr:col>
      <xdr:colOff>1777365</xdr:colOff>
      <xdr:row>97</xdr:row>
      <xdr:rowOff>698500</xdr:rowOff>
    </xdr:to>
    <xdr:pic>
      <xdr:nvPicPr>
        <xdr:cNvPr id="2" name="Picture 1">
          <a:extLst>
            <a:ext uri="{FF2B5EF4-FFF2-40B4-BE49-F238E27FC236}">
              <a16:creationId xmlns:a16="http://schemas.microsoft.com/office/drawing/2014/main" id="{318CE3DD-DD18-49BB-A7D9-D0337CAD13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900" y="20485100"/>
          <a:ext cx="1783715" cy="698500"/>
        </a:xfrm>
        <a:prstGeom prst="rect">
          <a:avLst/>
        </a:prstGeom>
        <a:noFill/>
        <a:ln>
          <a:noFill/>
        </a:ln>
      </xdr:spPr>
    </xdr:pic>
    <xdr:clientData/>
  </xdr:twoCellAnchor>
  <xdr:twoCellAnchor editAs="oneCell">
    <xdr:from>
      <xdr:col>3</xdr:col>
      <xdr:colOff>1</xdr:colOff>
      <xdr:row>97</xdr:row>
      <xdr:rowOff>0</xdr:rowOff>
    </xdr:from>
    <xdr:to>
      <xdr:col>3</xdr:col>
      <xdr:colOff>1572913</xdr:colOff>
      <xdr:row>97</xdr:row>
      <xdr:rowOff>736600</xdr:rowOff>
    </xdr:to>
    <xdr:pic>
      <xdr:nvPicPr>
        <xdr:cNvPr id="5" name="Picture 4">
          <a:extLst>
            <a:ext uri="{FF2B5EF4-FFF2-40B4-BE49-F238E27FC236}">
              <a16:creationId xmlns:a16="http://schemas.microsoft.com/office/drawing/2014/main" id="{5EF8F9C5-139D-45B9-A52B-689E15F2B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9951" y="20485100"/>
          <a:ext cx="1572912" cy="736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1604645</xdr:colOff>
      <xdr:row>50</xdr:row>
      <xdr:rowOff>895350</xdr:rowOff>
    </xdr:to>
    <xdr:pic>
      <xdr:nvPicPr>
        <xdr:cNvPr id="2" name="Picture 1">
          <a:extLst>
            <a:ext uri="{FF2B5EF4-FFF2-40B4-BE49-F238E27FC236}">
              <a16:creationId xmlns:a16="http://schemas.microsoft.com/office/drawing/2014/main" id="{8E5578B4-E798-4740-BAD2-C718923238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1830050"/>
          <a:ext cx="1604645" cy="895350"/>
        </a:xfrm>
        <a:prstGeom prst="rect">
          <a:avLst/>
        </a:prstGeom>
        <a:noFill/>
        <a:ln>
          <a:noFill/>
        </a:ln>
      </xdr:spPr>
    </xdr:pic>
    <xdr:clientData/>
  </xdr:twoCellAnchor>
  <xdr:oneCellAnchor>
    <xdr:from>
      <xdr:col>3</xdr:col>
      <xdr:colOff>0</xdr:colOff>
      <xdr:row>50</xdr:row>
      <xdr:rowOff>0</xdr:rowOff>
    </xdr:from>
    <xdr:ext cx="1470660" cy="868679"/>
    <xdr:pic>
      <xdr:nvPicPr>
        <xdr:cNvPr id="3" name="Picture 2">
          <a:extLst>
            <a:ext uri="{FF2B5EF4-FFF2-40B4-BE49-F238E27FC236}">
              <a16:creationId xmlns:a16="http://schemas.microsoft.com/office/drawing/2014/main" id="{2D410200-5308-4E94-A636-57F032080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1830050"/>
          <a:ext cx="1470660" cy="868679"/>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1778635</xdr:colOff>
      <xdr:row>49</xdr:row>
      <xdr:rowOff>914400</xdr:rowOff>
    </xdr:to>
    <xdr:pic>
      <xdr:nvPicPr>
        <xdr:cNvPr id="2" name="Picture 1">
          <a:extLst>
            <a:ext uri="{FF2B5EF4-FFF2-40B4-BE49-F238E27FC236}">
              <a16:creationId xmlns:a16="http://schemas.microsoft.com/office/drawing/2014/main" id="{127AE794-52EF-402F-B9AE-BE2CD40C1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1645900"/>
          <a:ext cx="1778635" cy="914400"/>
        </a:xfrm>
        <a:prstGeom prst="rect">
          <a:avLst/>
        </a:prstGeom>
        <a:noFill/>
        <a:ln>
          <a:noFill/>
        </a:ln>
      </xdr:spPr>
    </xdr:pic>
    <xdr:clientData/>
  </xdr:twoCellAnchor>
  <xdr:twoCellAnchor editAs="oneCell">
    <xdr:from>
      <xdr:col>3</xdr:col>
      <xdr:colOff>0</xdr:colOff>
      <xdr:row>49</xdr:row>
      <xdr:rowOff>0</xdr:rowOff>
    </xdr:from>
    <xdr:to>
      <xdr:col>4</xdr:col>
      <xdr:colOff>222885</xdr:colOff>
      <xdr:row>49</xdr:row>
      <xdr:rowOff>914400</xdr:rowOff>
    </xdr:to>
    <xdr:pic>
      <xdr:nvPicPr>
        <xdr:cNvPr id="4" name="Picture 3">
          <a:extLst>
            <a:ext uri="{FF2B5EF4-FFF2-40B4-BE49-F238E27FC236}">
              <a16:creationId xmlns:a16="http://schemas.microsoft.com/office/drawing/2014/main" id="{92DFE524-21EB-448E-9A30-4E5FCEE26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9150" y="11645900"/>
          <a:ext cx="1778635" cy="9144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0</xdr:colOff>
      <xdr:row>50</xdr:row>
      <xdr:rowOff>0</xdr:rowOff>
    </xdr:from>
    <xdr:ext cx="1516380" cy="886460"/>
    <xdr:pic>
      <xdr:nvPicPr>
        <xdr:cNvPr id="2" name="Picture 1">
          <a:extLst>
            <a:ext uri="{FF2B5EF4-FFF2-40B4-BE49-F238E27FC236}">
              <a16:creationId xmlns:a16="http://schemas.microsoft.com/office/drawing/2014/main" id="{D8C73901-AA83-4878-BBC2-26DF7CADC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1830050"/>
          <a:ext cx="1516380" cy="886460"/>
        </a:xfrm>
        <a:prstGeom prst="rect">
          <a:avLst/>
        </a:prstGeom>
        <a:noFill/>
        <a:ln>
          <a:noFill/>
        </a:ln>
      </xdr:spPr>
    </xdr:pic>
    <xdr:clientData/>
  </xdr:oneCellAnchor>
  <xdr:oneCellAnchor>
    <xdr:from>
      <xdr:col>3</xdr:col>
      <xdr:colOff>0</xdr:colOff>
      <xdr:row>50</xdr:row>
      <xdr:rowOff>0</xdr:rowOff>
    </xdr:from>
    <xdr:ext cx="1516380" cy="886460"/>
    <xdr:pic>
      <xdr:nvPicPr>
        <xdr:cNvPr id="3" name="Picture 2">
          <a:extLst>
            <a:ext uri="{FF2B5EF4-FFF2-40B4-BE49-F238E27FC236}">
              <a16:creationId xmlns:a16="http://schemas.microsoft.com/office/drawing/2014/main" id="{1562C5EA-38D1-461F-AFF3-06A5E54DDF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1830050"/>
          <a:ext cx="1516380" cy="88646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49</xdr:row>
      <xdr:rowOff>0</xdr:rowOff>
    </xdr:from>
    <xdr:ext cx="1516380" cy="886460"/>
    <xdr:pic>
      <xdr:nvPicPr>
        <xdr:cNvPr id="2" name="Picture 1">
          <a:extLst>
            <a:ext uri="{FF2B5EF4-FFF2-40B4-BE49-F238E27FC236}">
              <a16:creationId xmlns:a16="http://schemas.microsoft.com/office/drawing/2014/main" id="{0F1188C6-77C6-49E7-80ED-E099AD1F6C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1645900"/>
          <a:ext cx="1516380" cy="886460"/>
        </a:xfrm>
        <a:prstGeom prst="rect">
          <a:avLst/>
        </a:prstGeom>
        <a:noFill/>
        <a:ln>
          <a:noFill/>
        </a:ln>
      </xdr:spPr>
    </xdr:pic>
    <xdr:clientData/>
  </xdr:oneCellAnchor>
  <xdr:oneCellAnchor>
    <xdr:from>
      <xdr:col>3</xdr:col>
      <xdr:colOff>0</xdr:colOff>
      <xdr:row>49</xdr:row>
      <xdr:rowOff>0</xdr:rowOff>
    </xdr:from>
    <xdr:ext cx="1516380" cy="886460"/>
    <xdr:pic>
      <xdr:nvPicPr>
        <xdr:cNvPr id="3" name="Picture 2">
          <a:extLst>
            <a:ext uri="{FF2B5EF4-FFF2-40B4-BE49-F238E27FC236}">
              <a16:creationId xmlns:a16="http://schemas.microsoft.com/office/drawing/2014/main" id="{8F58D258-3AD6-477A-8DF4-4D4ACA5CD3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1645900"/>
          <a:ext cx="1516380" cy="88646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50</xdr:row>
      <xdr:rowOff>0</xdr:rowOff>
    </xdr:from>
    <xdr:ext cx="1516380" cy="886460"/>
    <xdr:pic>
      <xdr:nvPicPr>
        <xdr:cNvPr id="2" name="Picture 1">
          <a:extLst>
            <a:ext uri="{FF2B5EF4-FFF2-40B4-BE49-F238E27FC236}">
              <a16:creationId xmlns:a16="http://schemas.microsoft.com/office/drawing/2014/main" id="{3C5CE210-054D-41F2-B322-634873FE92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1830050"/>
          <a:ext cx="1516380" cy="886460"/>
        </a:xfrm>
        <a:prstGeom prst="rect">
          <a:avLst/>
        </a:prstGeom>
        <a:noFill/>
        <a:ln>
          <a:noFill/>
        </a:ln>
      </xdr:spPr>
    </xdr:pic>
    <xdr:clientData/>
  </xdr:oneCellAnchor>
  <xdr:oneCellAnchor>
    <xdr:from>
      <xdr:col>3</xdr:col>
      <xdr:colOff>0</xdr:colOff>
      <xdr:row>50</xdr:row>
      <xdr:rowOff>0</xdr:rowOff>
    </xdr:from>
    <xdr:ext cx="1516380" cy="886460"/>
    <xdr:pic>
      <xdr:nvPicPr>
        <xdr:cNvPr id="3" name="Picture 2">
          <a:extLst>
            <a:ext uri="{FF2B5EF4-FFF2-40B4-BE49-F238E27FC236}">
              <a16:creationId xmlns:a16="http://schemas.microsoft.com/office/drawing/2014/main" id="{A52FD35A-4228-47E4-8742-0B6478548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1830050"/>
          <a:ext cx="1516380" cy="886460"/>
        </a:xfrm>
        <a:prstGeom prst="rect">
          <a:avLst/>
        </a:prstGeom>
        <a:noFill/>
        <a:ln>
          <a:noFill/>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85</xdr:row>
      <xdr:rowOff>0</xdr:rowOff>
    </xdr:from>
    <xdr:ext cx="1516380" cy="886460"/>
    <xdr:pic>
      <xdr:nvPicPr>
        <xdr:cNvPr id="2" name="Picture 1">
          <a:extLst>
            <a:ext uri="{FF2B5EF4-FFF2-40B4-BE49-F238E27FC236}">
              <a16:creationId xmlns:a16="http://schemas.microsoft.com/office/drawing/2014/main" id="{141122CB-690E-4253-B493-D017A0E3CD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8275300"/>
          <a:ext cx="1516380" cy="886460"/>
        </a:xfrm>
        <a:prstGeom prst="rect">
          <a:avLst/>
        </a:prstGeom>
        <a:noFill/>
        <a:ln>
          <a:noFill/>
        </a:ln>
      </xdr:spPr>
    </xdr:pic>
    <xdr:clientData/>
  </xdr:oneCellAnchor>
  <xdr:oneCellAnchor>
    <xdr:from>
      <xdr:col>3</xdr:col>
      <xdr:colOff>0</xdr:colOff>
      <xdr:row>85</xdr:row>
      <xdr:rowOff>0</xdr:rowOff>
    </xdr:from>
    <xdr:ext cx="1516380" cy="886460"/>
    <xdr:pic>
      <xdr:nvPicPr>
        <xdr:cNvPr id="3" name="Picture 2">
          <a:extLst>
            <a:ext uri="{FF2B5EF4-FFF2-40B4-BE49-F238E27FC236}">
              <a16:creationId xmlns:a16="http://schemas.microsoft.com/office/drawing/2014/main" id="{104AD3CA-232D-40D3-A455-08B4E8446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8275300"/>
          <a:ext cx="1516380" cy="886460"/>
        </a:xfrm>
        <a:prstGeom prst="rect">
          <a:avLst/>
        </a:prstGeom>
        <a:noFill/>
        <a:ln>
          <a:noFill/>
        </a:ln>
      </xdr:spPr>
    </xdr:pic>
    <xdr:clientData/>
  </xdr:oneCellAnchor>
  <xdr:oneCellAnchor>
    <xdr:from>
      <xdr:col>5</xdr:col>
      <xdr:colOff>0</xdr:colOff>
      <xdr:row>85</xdr:row>
      <xdr:rowOff>0</xdr:rowOff>
    </xdr:from>
    <xdr:ext cx="1516380" cy="886460"/>
    <xdr:pic>
      <xdr:nvPicPr>
        <xdr:cNvPr id="4" name="Picture 3">
          <a:extLst>
            <a:ext uri="{FF2B5EF4-FFF2-40B4-BE49-F238E27FC236}">
              <a16:creationId xmlns:a16="http://schemas.microsoft.com/office/drawing/2014/main" id="{5416E024-F065-4F5B-A9DB-249E5F1D90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45550" y="18275300"/>
          <a:ext cx="1516380" cy="886460"/>
        </a:xfrm>
        <a:prstGeom prst="rect">
          <a:avLst/>
        </a:prstGeom>
        <a:noFill/>
        <a:ln>
          <a:noFill/>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106</xdr:row>
      <xdr:rowOff>0</xdr:rowOff>
    </xdr:from>
    <xdr:ext cx="1516380" cy="886460"/>
    <xdr:pic>
      <xdr:nvPicPr>
        <xdr:cNvPr id="2" name="Picture 1">
          <a:extLst>
            <a:ext uri="{FF2B5EF4-FFF2-40B4-BE49-F238E27FC236}">
              <a16:creationId xmlns:a16="http://schemas.microsoft.com/office/drawing/2014/main" id="{94E39813-6000-4819-98A5-5833653CB5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2142450"/>
          <a:ext cx="1516380" cy="886460"/>
        </a:xfrm>
        <a:prstGeom prst="rect">
          <a:avLst/>
        </a:prstGeom>
        <a:noFill/>
        <a:ln>
          <a:noFill/>
        </a:ln>
      </xdr:spPr>
    </xdr:pic>
    <xdr:clientData/>
  </xdr:oneCellAnchor>
  <xdr:oneCellAnchor>
    <xdr:from>
      <xdr:col>3</xdr:col>
      <xdr:colOff>0</xdr:colOff>
      <xdr:row>106</xdr:row>
      <xdr:rowOff>0</xdr:rowOff>
    </xdr:from>
    <xdr:ext cx="1516380" cy="886460"/>
    <xdr:pic>
      <xdr:nvPicPr>
        <xdr:cNvPr id="3" name="Picture 2">
          <a:extLst>
            <a:ext uri="{FF2B5EF4-FFF2-40B4-BE49-F238E27FC236}">
              <a16:creationId xmlns:a16="http://schemas.microsoft.com/office/drawing/2014/main" id="{B9E48C9C-C6D8-408B-AC62-04DC5EBAE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2142450"/>
          <a:ext cx="1516380" cy="886460"/>
        </a:xfrm>
        <a:prstGeom prst="rect">
          <a:avLst/>
        </a:prstGeom>
        <a:noFill/>
        <a:ln>
          <a:noFill/>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132</xdr:row>
      <xdr:rowOff>0</xdr:rowOff>
    </xdr:from>
    <xdr:ext cx="1516380" cy="886460"/>
    <xdr:pic>
      <xdr:nvPicPr>
        <xdr:cNvPr id="2" name="Picture 1">
          <a:extLst>
            <a:ext uri="{FF2B5EF4-FFF2-40B4-BE49-F238E27FC236}">
              <a16:creationId xmlns:a16="http://schemas.microsoft.com/office/drawing/2014/main" id="{0394DF9E-6529-47CB-BA34-2C49741A5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6930350"/>
          <a:ext cx="1516380" cy="886460"/>
        </a:xfrm>
        <a:prstGeom prst="rect">
          <a:avLst/>
        </a:prstGeom>
        <a:noFill/>
        <a:ln>
          <a:noFill/>
        </a:ln>
      </xdr:spPr>
    </xdr:pic>
    <xdr:clientData/>
  </xdr:oneCellAnchor>
  <xdr:oneCellAnchor>
    <xdr:from>
      <xdr:col>2</xdr:col>
      <xdr:colOff>1854200</xdr:colOff>
      <xdr:row>131</xdr:row>
      <xdr:rowOff>355600</xdr:rowOff>
    </xdr:from>
    <xdr:ext cx="1516380" cy="927099"/>
    <xdr:pic>
      <xdr:nvPicPr>
        <xdr:cNvPr id="5" name="Picture 4">
          <a:extLst>
            <a:ext uri="{FF2B5EF4-FFF2-40B4-BE49-F238E27FC236}">
              <a16:creationId xmlns:a16="http://schemas.microsoft.com/office/drawing/2014/main" id="{F861FBE4-6ED9-4ACA-B9D9-F51A6423FC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0" y="26917650"/>
          <a:ext cx="1516380" cy="927099"/>
        </a:xfrm>
        <a:prstGeom prst="rect">
          <a:avLst/>
        </a:prstGeom>
        <a:noFill/>
        <a:ln>
          <a:noFill/>
        </a:ln>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1</xdr:col>
      <xdr:colOff>1604645</xdr:colOff>
      <xdr:row>76</xdr:row>
      <xdr:rowOff>857250</xdr:rowOff>
    </xdr:to>
    <xdr:pic>
      <xdr:nvPicPr>
        <xdr:cNvPr id="2" name="Picture 1">
          <a:extLst>
            <a:ext uri="{FF2B5EF4-FFF2-40B4-BE49-F238E27FC236}">
              <a16:creationId xmlns:a16="http://schemas.microsoft.com/office/drawing/2014/main" id="{62234D9F-2845-4F1D-8E78-3EF2E9816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6617950"/>
          <a:ext cx="1604645" cy="857250"/>
        </a:xfrm>
        <a:prstGeom prst="rect">
          <a:avLst/>
        </a:prstGeom>
        <a:noFill/>
        <a:ln>
          <a:noFill/>
        </a:ln>
      </xdr:spPr>
    </xdr:pic>
    <xdr:clientData/>
  </xdr:twoCellAnchor>
  <xdr:oneCellAnchor>
    <xdr:from>
      <xdr:col>3</xdr:col>
      <xdr:colOff>0</xdr:colOff>
      <xdr:row>76</xdr:row>
      <xdr:rowOff>0</xdr:rowOff>
    </xdr:from>
    <xdr:ext cx="1470660" cy="868679"/>
    <xdr:pic>
      <xdr:nvPicPr>
        <xdr:cNvPr id="3" name="Picture 2">
          <a:extLst>
            <a:ext uri="{FF2B5EF4-FFF2-40B4-BE49-F238E27FC236}">
              <a16:creationId xmlns:a16="http://schemas.microsoft.com/office/drawing/2014/main" id="{E611DBE2-2104-4EF4-B07F-46A6FC34BE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6617950"/>
          <a:ext cx="1470660" cy="868679"/>
        </a:xfrm>
        <a:prstGeom prst="rect">
          <a:avLst/>
        </a:prstGeom>
        <a:noFill/>
        <a:ln>
          <a:noFill/>
        </a:ln>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0</xdr:colOff>
      <xdr:row>411</xdr:row>
      <xdr:rowOff>0</xdr:rowOff>
    </xdr:from>
    <xdr:ext cx="1470660" cy="868679"/>
    <xdr:pic>
      <xdr:nvPicPr>
        <xdr:cNvPr id="2" name="Picture 1">
          <a:extLst>
            <a:ext uri="{FF2B5EF4-FFF2-40B4-BE49-F238E27FC236}">
              <a16:creationId xmlns:a16="http://schemas.microsoft.com/office/drawing/2014/main" id="{1386D099-1490-430E-A863-9E814AA05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78308200"/>
          <a:ext cx="1470660" cy="868679"/>
        </a:xfrm>
        <a:prstGeom prst="rect">
          <a:avLst/>
        </a:prstGeom>
        <a:noFill/>
        <a:ln>
          <a:noFill/>
        </a:ln>
      </xdr:spPr>
    </xdr:pic>
    <xdr:clientData/>
  </xdr:oneCellAnchor>
  <xdr:oneCellAnchor>
    <xdr:from>
      <xdr:col>3</xdr:col>
      <xdr:colOff>0</xdr:colOff>
      <xdr:row>411</xdr:row>
      <xdr:rowOff>0</xdr:rowOff>
    </xdr:from>
    <xdr:ext cx="1470660" cy="868679"/>
    <xdr:pic>
      <xdr:nvPicPr>
        <xdr:cNvPr id="3" name="Picture 2">
          <a:extLst>
            <a:ext uri="{FF2B5EF4-FFF2-40B4-BE49-F238E27FC236}">
              <a16:creationId xmlns:a16="http://schemas.microsoft.com/office/drawing/2014/main" id="{F54E0E2A-76C0-4980-9A8C-81AF7213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78308200"/>
          <a:ext cx="1470660" cy="868679"/>
        </a:xfrm>
        <a:prstGeom prst="rect">
          <a:avLst/>
        </a:prstGeom>
        <a:noFill/>
        <a:ln>
          <a:noFill/>
        </a:ln>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1</xdr:col>
      <xdr:colOff>1606550</xdr:colOff>
      <xdr:row>217</xdr:row>
      <xdr:rowOff>850900</xdr:rowOff>
    </xdr:to>
    <xdr:pic>
      <xdr:nvPicPr>
        <xdr:cNvPr id="2" name="Picture 1">
          <a:extLst>
            <a:ext uri="{FF2B5EF4-FFF2-40B4-BE49-F238E27FC236}">
              <a16:creationId xmlns:a16="http://schemas.microsoft.com/office/drawing/2014/main" id="{9865EB3B-A3BC-4866-A05B-92C5704D0B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42583100"/>
          <a:ext cx="1606550" cy="850900"/>
        </a:xfrm>
        <a:prstGeom prst="rect">
          <a:avLst/>
        </a:prstGeom>
        <a:noFill/>
        <a:ln>
          <a:noFill/>
        </a:ln>
      </xdr:spPr>
    </xdr:pic>
    <xdr:clientData/>
  </xdr:twoCellAnchor>
  <xdr:twoCellAnchor editAs="oneCell">
    <xdr:from>
      <xdr:col>3</xdr:col>
      <xdr:colOff>31750</xdr:colOff>
      <xdr:row>217</xdr:row>
      <xdr:rowOff>31750</xdr:rowOff>
    </xdr:from>
    <xdr:to>
      <xdr:col>3</xdr:col>
      <xdr:colOff>1508125</xdr:colOff>
      <xdr:row>218</xdr:row>
      <xdr:rowOff>6350</xdr:rowOff>
    </xdr:to>
    <xdr:pic>
      <xdr:nvPicPr>
        <xdr:cNvPr id="3" name="Picture 2">
          <a:extLst>
            <a:ext uri="{FF2B5EF4-FFF2-40B4-BE49-F238E27FC236}">
              <a16:creationId xmlns:a16="http://schemas.microsoft.com/office/drawing/2014/main" id="{E2B8EC8A-DEC5-457D-9F7E-4712576E9FAE}"/>
            </a:ext>
          </a:extLst>
        </xdr:cNvPr>
        <xdr:cNvPicPr>
          <a:picLocks noChangeAspect="1"/>
        </xdr:cNvPicPr>
      </xdr:nvPicPr>
      <xdr:blipFill>
        <a:blip xmlns:r="http://schemas.openxmlformats.org/officeDocument/2006/relationships" r:embed="rId2"/>
        <a:stretch>
          <a:fillRect/>
        </a:stretch>
      </xdr:blipFill>
      <xdr:spPr>
        <a:xfrm>
          <a:off x="7080250" y="42614850"/>
          <a:ext cx="1476375" cy="8763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1</xdr:col>
      <xdr:colOff>0</xdr:colOff>
      <xdr:row>139</xdr:row>
      <xdr:rowOff>0</xdr:rowOff>
    </xdr:from>
    <xdr:ext cx="1485900" cy="868680"/>
    <xdr:pic>
      <xdr:nvPicPr>
        <xdr:cNvPr id="2" name="Picture 1">
          <a:extLst>
            <a:ext uri="{FF2B5EF4-FFF2-40B4-BE49-F238E27FC236}">
              <a16:creationId xmlns:a16="http://schemas.microsoft.com/office/drawing/2014/main" id="{E3FFC318-BFD6-4BED-9B88-E1D6FEBA9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8219400"/>
          <a:ext cx="1485900" cy="868680"/>
        </a:xfrm>
        <a:prstGeom prst="rect">
          <a:avLst/>
        </a:prstGeom>
        <a:noFill/>
        <a:ln>
          <a:noFill/>
        </a:ln>
      </xdr:spPr>
    </xdr:pic>
    <xdr:clientData/>
  </xdr:oneCellAnchor>
  <xdr:oneCellAnchor>
    <xdr:from>
      <xdr:col>3</xdr:col>
      <xdr:colOff>0</xdr:colOff>
      <xdr:row>139</xdr:row>
      <xdr:rowOff>0</xdr:rowOff>
    </xdr:from>
    <xdr:ext cx="1485900" cy="868680"/>
    <xdr:pic>
      <xdr:nvPicPr>
        <xdr:cNvPr id="3" name="Picture 2">
          <a:extLst>
            <a:ext uri="{FF2B5EF4-FFF2-40B4-BE49-F238E27FC236}">
              <a16:creationId xmlns:a16="http://schemas.microsoft.com/office/drawing/2014/main" id="{9446D487-C030-4D61-BDA9-AF86B6BD4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8219400"/>
          <a:ext cx="1485900" cy="868680"/>
        </a:xfrm>
        <a:prstGeom prst="rect">
          <a:avLst/>
        </a:prstGeom>
        <a:noFill/>
        <a:ln>
          <a:noFill/>
        </a:ln>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0</xdr:colOff>
      <xdr:row>102</xdr:row>
      <xdr:rowOff>0</xdr:rowOff>
    </xdr:from>
    <xdr:ext cx="1485900" cy="868680"/>
    <xdr:pic>
      <xdr:nvPicPr>
        <xdr:cNvPr id="2" name="Picture 1">
          <a:extLst>
            <a:ext uri="{FF2B5EF4-FFF2-40B4-BE49-F238E27FC236}">
              <a16:creationId xmlns:a16="http://schemas.microsoft.com/office/drawing/2014/main" id="{C49B13A1-EAE3-4939-923A-BE3C5DDE8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1405850"/>
          <a:ext cx="1485900" cy="868680"/>
        </a:xfrm>
        <a:prstGeom prst="rect">
          <a:avLst/>
        </a:prstGeom>
        <a:noFill/>
        <a:ln>
          <a:noFill/>
        </a:ln>
      </xdr:spPr>
    </xdr:pic>
    <xdr:clientData/>
  </xdr:oneCellAnchor>
  <xdr:oneCellAnchor>
    <xdr:from>
      <xdr:col>3</xdr:col>
      <xdr:colOff>0</xdr:colOff>
      <xdr:row>102</xdr:row>
      <xdr:rowOff>0</xdr:rowOff>
    </xdr:from>
    <xdr:ext cx="1485900" cy="868680"/>
    <xdr:pic>
      <xdr:nvPicPr>
        <xdr:cNvPr id="3" name="Picture 2">
          <a:extLst>
            <a:ext uri="{FF2B5EF4-FFF2-40B4-BE49-F238E27FC236}">
              <a16:creationId xmlns:a16="http://schemas.microsoft.com/office/drawing/2014/main" id="{8E2D2887-D378-479D-AF89-2C4686D540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1405850"/>
          <a:ext cx="1485900" cy="868680"/>
        </a:xfrm>
        <a:prstGeom prst="rect">
          <a:avLst/>
        </a:prstGeom>
        <a:noFill/>
        <a:ln>
          <a:noFill/>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106</xdr:row>
      <xdr:rowOff>0</xdr:rowOff>
    </xdr:from>
    <xdr:ext cx="1485900" cy="868680"/>
    <xdr:pic>
      <xdr:nvPicPr>
        <xdr:cNvPr id="2" name="Picture 1">
          <a:extLst>
            <a:ext uri="{FF2B5EF4-FFF2-40B4-BE49-F238E27FC236}">
              <a16:creationId xmlns:a16="http://schemas.microsoft.com/office/drawing/2014/main" id="{8FAD89CD-711E-42C1-95EE-09F2504AE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2142450"/>
          <a:ext cx="1485900" cy="868680"/>
        </a:xfrm>
        <a:prstGeom prst="rect">
          <a:avLst/>
        </a:prstGeom>
        <a:noFill/>
        <a:ln>
          <a:noFill/>
        </a:ln>
      </xdr:spPr>
    </xdr:pic>
    <xdr:clientData/>
  </xdr:oneCellAnchor>
  <xdr:twoCellAnchor>
    <xdr:from>
      <xdr:col>3</xdr:col>
      <xdr:colOff>0</xdr:colOff>
      <xdr:row>106</xdr:row>
      <xdr:rowOff>0</xdr:rowOff>
    </xdr:from>
    <xdr:to>
      <xdr:col>4</xdr:col>
      <xdr:colOff>0</xdr:colOff>
      <xdr:row>106</xdr:row>
      <xdr:rowOff>819150</xdr:rowOff>
    </xdr:to>
    <xdr:pic>
      <xdr:nvPicPr>
        <xdr:cNvPr id="3" name="Picture 2">
          <a:extLst>
            <a:ext uri="{FF2B5EF4-FFF2-40B4-BE49-F238E27FC236}">
              <a16:creationId xmlns:a16="http://schemas.microsoft.com/office/drawing/2014/main" id="{B5F4AEE7-C127-4F43-B17F-D476A3EC66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59600" y="22142450"/>
          <a:ext cx="12700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oneCellAnchor>
    <xdr:from>
      <xdr:col>1</xdr:col>
      <xdr:colOff>0</xdr:colOff>
      <xdr:row>116</xdr:row>
      <xdr:rowOff>0</xdr:rowOff>
    </xdr:from>
    <xdr:ext cx="1485900" cy="868680"/>
    <xdr:pic>
      <xdr:nvPicPr>
        <xdr:cNvPr id="2" name="Picture 1">
          <a:extLst>
            <a:ext uri="{FF2B5EF4-FFF2-40B4-BE49-F238E27FC236}">
              <a16:creationId xmlns:a16="http://schemas.microsoft.com/office/drawing/2014/main" id="{0DF233F6-F3AA-4DD3-A8E6-C8E99C013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3983950"/>
          <a:ext cx="1485900" cy="868680"/>
        </a:xfrm>
        <a:prstGeom prst="rect">
          <a:avLst/>
        </a:prstGeom>
        <a:noFill/>
        <a:ln>
          <a:noFill/>
        </a:ln>
      </xdr:spPr>
    </xdr:pic>
    <xdr:clientData/>
  </xdr:oneCellAnchor>
  <xdr:oneCellAnchor>
    <xdr:from>
      <xdr:col>3</xdr:col>
      <xdr:colOff>0</xdr:colOff>
      <xdr:row>116</xdr:row>
      <xdr:rowOff>0</xdr:rowOff>
    </xdr:from>
    <xdr:ext cx="1485900" cy="868680"/>
    <xdr:pic>
      <xdr:nvPicPr>
        <xdr:cNvPr id="3" name="Picture 2">
          <a:extLst>
            <a:ext uri="{FF2B5EF4-FFF2-40B4-BE49-F238E27FC236}">
              <a16:creationId xmlns:a16="http://schemas.microsoft.com/office/drawing/2014/main" id="{D13C6813-F69D-4641-8C08-347A5FD77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3983950"/>
          <a:ext cx="1485900" cy="868680"/>
        </a:xfrm>
        <a:prstGeom prst="rect">
          <a:avLst/>
        </a:prstGeom>
        <a:noFill/>
        <a:ln>
          <a:noFill/>
        </a:ln>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0</xdr:colOff>
      <xdr:row>123</xdr:row>
      <xdr:rowOff>0</xdr:rowOff>
    </xdr:from>
    <xdr:ext cx="1485900" cy="868680"/>
    <xdr:pic>
      <xdr:nvPicPr>
        <xdr:cNvPr id="2" name="Picture 1">
          <a:extLst>
            <a:ext uri="{FF2B5EF4-FFF2-40B4-BE49-F238E27FC236}">
              <a16:creationId xmlns:a16="http://schemas.microsoft.com/office/drawing/2014/main" id="{3218B912-4CB2-4E54-8712-45B1FCBF2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5273000"/>
          <a:ext cx="1485900" cy="868680"/>
        </a:xfrm>
        <a:prstGeom prst="rect">
          <a:avLst/>
        </a:prstGeom>
        <a:noFill/>
        <a:ln>
          <a:noFill/>
        </a:ln>
      </xdr:spPr>
    </xdr:pic>
    <xdr:clientData/>
  </xdr:oneCellAnchor>
  <xdr:oneCellAnchor>
    <xdr:from>
      <xdr:col>3</xdr:col>
      <xdr:colOff>0</xdr:colOff>
      <xdr:row>123</xdr:row>
      <xdr:rowOff>0</xdr:rowOff>
    </xdr:from>
    <xdr:ext cx="1485900" cy="868680"/>
    <xdr:pic>
      <xdr:nvPicPr>
        <xdr:cNvPr id="3" name="Picture 2">
          <a:extLst>
            <a:ext uri="{FF2B5EF4-FFF2-40B4-BE49-F238E27FC236}">
              <a16:creationId xmlns:a16="http://schemas.microsoft.com/office/drawing/2014/main" id="{3C2A407D-8F1F-474D-A7CD-7A1CC681D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5273000"/>
          <a:ext cx="1485900" cy="868680"/>
        </a:xfrm>
        <a:prstGeom prst="rect">
          <a:avLst/>
        </a:prstGeom>
        <a:noFill/>
        <a:ln>
          <a:noFill/>
        </a:ln>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11430</xdr:colOff>
      <xdr:row>206</xdr:row>
      <xdr:rowOff>895350</xdr:rowOff>
    </xdr:to>
    <xdr:pic>
      <xdr:nvPicPr>
        <xdr:cNvPr id="2" name="Picture 1">
          <a:extLst>
            <a:ext uri="{FF2B5EF4-FFF2-40B4-BE49-F238E27FC236}">
              <a16:creationId xmlns:a16="http://schemas.microsoft.com/office/drawing/2014/main" id="{5637CBC5-81C7-40BB-BB36-F12B2981CD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40557450"/>
          <a:ext cx="1808480" cy="895350"/>
        </a:xfrm>
        <a:prstGeom prst="rect">
          <a:avLst/>
        </a:prstGeom>
        <a:noFill/>
        <a:ln>
          <a:noFill/>
        </a:ln>
      </xdr:spPr>
    </xdr:pic>
    <xdr:clientData/>
  </xdr:twoCellAnchor>
  <xdr:oneCellAnchor>
    <xdr:from>
      <xdr:col>3</xdr:col>
      <xdr:colOff>0</xdr:colOff>
      <xdr:row>206</xdr:row>
      <xdr:rowOff>0</xdr:rowOff>
    </xdr:from>
    <xdr:ext cx="1516380" cy="886460"/>
    <xdr:pic>
      <xdr:nvPicPr>
        <xdr:cNvPr id="3" name="Picture 2">
          <a:extLst>
            <a:ext uri="{FF2B5EF4-FFF2-40B4-BE49-F238E27FC236}">
              <a16:creationId xmlns:a16="http://schemas.microsoft.com/office/drawing/2014/main" id="{BDBA7B43-3530-4DD5-9456-3BF8F90A01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29400" y="40557450"/>
          <a:ext cx="1516380" cy="886460"/>
        </a:xfrm>
        <a:prstGeom prst="rect">
          <a:avLst/>
        </a:prstGeom>
        <a:noFill/>
        <a:ln>
          <a:noFill/>
        </a:ln>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0</xdr:colOff>
      <xdr:row>77</xdr:row>
      <xdr:rowOff>0</xdr:rowOff>
    </xdr:from>
    <xdr:ext cx="1485900" cy="868680"/>
    <xdr:pic>
      <xdr:nvPicPr>
        <xdr:cNvPr id="2" name="Picture 1">
          <a:extLst>
            <a:ext uri="{FF2B5EF4-FFF2-40B4-BE49-F238E27FC236}">
              <a16:creationId xmlns:a16="http://schemas.microsoft.com/office/drawing/2014/main" id="{205CF431-1507-4FEE-93CC-B896BDB5A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6802100"/>
          <a:ext cx="1485900" cy="868680"/>
        </a:xfrm>
        <a:prstGeom prst="rect">
          <a:avLst/>
        </a:prstGeom>
        <a:noFill/>
        <a:ln>
          <a:noFill/>
        </a:ln>
      </xdr:spPr>
    </xdr:pic>
    <xdr:clientData/>
  </xdr:oneCellAnchor>
  <xdr:oneCellAnchor>
    <xdr:from>
      <xdr:col>3</xdr:col>
      <xdr:colOff>0</xdr:colOff>
      <xdr:row>77</xdr:row>
      <xdr:rowOff>0</xdr:rowOff>
    </xdr:from>
    <xdr:ext cx="1485900" cy="868680"/>
    <xdr:pic>
      <xdr:nvPicPr>
        <xdr:cNvPr id="3" name="Picture 2">
          <a:extLst>
            <a:ext uri="{FF2B5EF4-FFF2-40B4-BE49-F238E27FC236}">
              <a16:creationId xmlns:a16="http://schemas.microsoft.com/office/drawing/2014/main" id="{1F159DE7-08CE-48F3-8386-CEF377379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6802100"/>
          <a:ext cx="1485900" cy="868680"/>
        </a:xfrm>
        <a:prstGeom prst="rect">
          <a:avLst/>
        </a:prstGeom>
        <a:noFill/>
        <a:ln>
          <a:noFill/>
        </a:ln>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0</xdr:colOff>
      <xdr:row>77</xdr:row>
      <xdr:rowOff>0</xdr:rowOff>
    </xdr:from>
    <xdr:ext cx="1485900" cy="868680"/>
    <xdr:pic>
      <xdr:nvPicPr>
        <xdr:cNvPr id="2" name="Picture 1">
          <a:extLst>
            <a:ext uri="{FF2B5EF4-FFF2-40B4-BE49-F238E27FC236}">
              <a16:creationId xmlns:a16="http://schemas.microsoft.com/office/drawing/2014/main" id="{A1BC6B50-0E49-4607-BD8F-2D1FC2CFD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6802100"/>
          <a:ext cx="1485900" cy="868680"/>
        </a:xfrm>
        <a:prstGeom prst="rect">
          <a:avLst/>
        </a:prstGeom>
        <a:noFill/>
        <a:ln>
          <a:noFill/>
        </a:ln>
      </xdr:spPr>
    </xdr:pic>
    <xdr:clientData/>
  </xdr:oneCellAnchor>
  <xdr:oneCellAnchor>
    <xdr:from>
      <xdr:col>3</xdr:col>
      <xdr:colOff>0</xdr:colOff>
      <xdr:row>77</xdr:row>
      <xdr:rowOff>0</xdr:rowOff>
    </xdr:from>
    <xdr:ext cx="1485900" cy="868680"/>
    <xdr:pic>
      <xdr:nvPicPr>
        <xdr:cNvPr id="3" name="Picture 2">
          <a:extLst>
            <a:ext uri="{FF2B5EF4-FFF2-40B4-BE49-F238E27FC236}">
              <a16:creationId xmlns:a16="http://schemas.microsoft.com/office/drawing/2014/main" id="{5D384ADC-E058-4830-A2E1-8E56D528A4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6802100"/>
          <a:ext cx="1485900" cy="868680"/>
        </a:xfrm>
        <a:prstGeom prst="rect">
          <a:avLst/>
        </a:prstGeom>
        <a:noFill/>
        <a:ln>
          <a:noFill/>
        </a:ln>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0</xdr:colOff>
      <xdr:row>98</xdr:row>
      <xdr:rowOff>0</xdr:rowOff>
    </xdr:from>
    <xdr:ext cx="1485900" cy="868680"/>
    <xdr:pic>
      <xdr:nvPicPr>
        <xdr:cNvPr id="2" name="Picture 1">
          <a:extLst>
            <a:ext uri="{FF2B5EF4-FFF2-40B4-BE49-F238E27FC236}">
              <a16:creationId xmlns:a16="http://schemas.microsoft.com/office/drawing/2014/main" id="{DCBE8DBC-8910-4A26-994B-09441689D4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1342350"/>
          <a:ext cx="1485900" cy="868680"/>
        </a:xfrm>
        <a:prstGeom prst="rect">
          <a:avLst/>
        </a:prstGeom>
        <a:noFill/>
        <a:ln>
          <a:noFill/>
        </a:ln>
      </xdr:spPr>
    </xdr:pic>
    <xdr:clientData/>
  </xdr:oneCellAnchor>
  <xdr:oneCellAnchor>
    <xdr:from>
      <xdr:col>3</xdr:col>
      <xdr:colOff>0</xdr:colOff>
      <xdr:row>98</xdr:row>
      <xdr:rowOff>0</xdr:rowOff>
    </xdr:from>
    <xdr:ext cx="1485900" cy="868680"/>
    <xdr:pic>
      <xdr:nvPicPr>
        <xdr:cNvPr id="3" name="Picture 2">
          <a:extLst>
            <a:ext uri="{FF2B5EF4-FFF2-40B4-BE49-F238E27FC236}">
              <a16:creationId xmlns:a16="http://schemas.microsoft.com/office/drawing/2014/main" id="{88C4F890-DE19-46A2-AA1B-E266B12DC6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1342350"/>
          <a:ext cx="1485900" cy="868680"/>
        </a:xfrm>
        <a:prstGeom prst="rect">
          <a:avLst/>
        </a:prstGeom>
        <a:noFill/>
        <a:ln>
          <a:noFill/>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0</xdr:colOff>
      <xdr:row>297</xdr:row>
      <xdr:rowOff>0</xdr:rowOff>
    </xdr:from>
    <xdr:ext cx="1485900" cy="868680"/>
    <xdr:pic>
      <xdr:nvPicPr>
        <xdr:cNvPr id="2" name="Picture 1">
          <a:extLst>
            <a:ext uri="{FF2B5EF4-FFF2-40B4-BE49-F238E27FC236}">
              <a16:creationId xmlns:a16="http://schemas.microsoft.com/office/drawing/2014/main" id="{C0B65950-9B66-412A-8DA8-F21E5E599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57315100"/>
          <a:ext cx="1485900" cy="868680"/>
        </a:xfrm>
        <a:prstGeom prst="rect">
          <a:avLst/>
        </a:prstGeom>
        <a:noFill/>
        <a:ln>
          <a:noFill/>
        </a:ln>
      </xdr:spPr>
    </xdr:pic>
    <xdr:clientData/>
  </xdr:oneCellAnchor>
  <xdr:oneCellAnchor>
    <xdr:from>
      <xdr:col>3</xdr:col>
      <xdr:colOff>0</xdr:colOff>
      <xdr:row>297</xdr:row>
      <xdr:rowOff>0</xdr:rowOff>
    </xdr:from>
    <xdr:ext cx="1485900" cy="868680"/>
    <xdr:pic>
      <xdr:nvPicPr>
        <xdr:cNvPr id="3" name="Picture 2">
          <a:extLst>
            <a:ext uri="{FF2B5EF4-FFF2-40B4-BE49-F238E27FC236}">
              <a16:creationId xmlns:a16="http://schemas.microsoft.com/office/drawing/2014/main" id="{40B6776C-1C9E-42FE-BDA6-C26DB0B5D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57315100"/>
          <a:ext cx="1485900" cy="868680"/>
        </a:xfrm>
        <a:prstGeom prst="rect">
          <a:avLst/>
        </a:prstGeom>
        <a:noFill/>
        <a:ln>
          <a:noFill/>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0</xdr:colOff>
      <xdr:row>114</xdr:row>
      <xdr:rowOff>0</xdr:rowOff>
    </xdr:from>
    <xdr:ext cx="1485900" cy="868680"/>
    <xdr:pic>
      <xdr:nvPicPr>
        <xdr:cNvPr id="2" name="Picture 1">
          <a:extLst>
            <a:ext uri="{FF2B5EF4-FFF2-40B4-BE49-F238E27FC236}">
              <a16:creationId xmlns:a16="http://schemas.microsoft.com/office/drawing/2014/main" id="{23DAB8AB-F826-4BCF-9C68-0B8D5ED23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3615650"/>
          <a:ext cx="1485900" cy="868680"/>
        </a:xfrm>
        <a:prstGeom prst="rect">
          <a:avLst/>
        </a:prstGeom>
        <a:noFill/>
        <a:ln>
          <a:noFill/>
        </a:ln>
      </xdr:spPr>
    </xdr:pic>
    <xdr:clientData/>
  </xdr:oneCellAnchor>
  <xdr:oneCellAnchor>
    <xdr:from>
      <xdr:col>3</xdr:col>
      <xdr:colOff>0</xdr:colOff>
      <xdr:row>114</xdr:row>
      <xdr:rowOff>0</xdr:rowOff>
    </xdr:from>
    <xdr:ext cx="1485900" cy="868680"/>
    <xdr:pic>
      <xdr:nvPicPr>
        <xdr:cNvPr id="3" name="Picture 2">
          <a:extLst>
            <a:ext uri="{FF2B5EF4-FFF2-40B4-BE49-F238E27FC236}">
              <a16:creationId xmlns:a16="http://schemas.microsoft.com/office/drawing/2014/main" id="{D696484C-09ED-461F-88A2-1F8EBEB093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23615650"/>
          <a:ext cx="1485900" cy="868680"/>
        </a:xfrm>
        <a:prstGeom prst="rect">
          <a:avLst/>
        </a:prstGeom>
        <a:noFill/>
        <a:ln>
          <a:noFill/>
        </a:ln>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0</xdr:colOff>
      <xdr:row>56</xdr:row>
      <xdr:rowOff>0</xdr:rowOff>
    </xdr:from>
    <xdr:ext cx="1485900" cy="868680"/>
    <xdr:pic>
      <xdr:nvPicPr>
        <xdr:cNvPr id="2" name="Picture 1">
          <a:extLst>
            <a:ext uri="{FF2B5EF4-FFF2-40B4-BE49-F238E27FC236}">
              <a16:creationId xmlns:a16="http://schemas.microsoft.com/office/drawing/2014/main" id="{A15EF345-CD84-40F8-99C7-8D0708E4F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3652500"/>
          <a:ext cx="1485900" cy="868680"/>
        </a:xfrm>
        <a:prstGeom prst="rect">
          <a:avLst/>
        </a:prstGeom>
        <a:noFill/>
        <a:ln>
          <a:noFill/>
        </a:ln>
      </xdr:spPr>
    </xdr:pic>
    <xdr:clientData/>
  </xdr:oneCellAnchor>
  <xdr:oneCellAnchor>
    <xdr:from>
      <xdr:col>3</xdr:col>
      <xdr:colOff>0</xdr:colOff>
      <xdr:row>56</xdr:row>
      <xdr:rowOff>0</xdr:rowOff>
    </xdr:from>
    <xdr:ext cx="1485900" cy="868680"/>
    <xdr:pic>
      <xdr:nvPicPr>
        <xdr:cNvPr id="3" name="Picture 2">
          <a:extLst>
            <a:ext uri="{FF2B5EF4-FFF2-40B4-BE49-F238E27FC236}">
              <a16:creationId xmlns:a16="http://schemas.microsoft.com/office/drawing/2014/main" id="{9C83B0A9-ED98-4EF0-B9CC-90B0811A76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3652500"/>
          <a:ext cx="1485900" cy="868680"/>
        </a:xfrm>
        <a:prstGeom prst="rect">
          <a:avLst/>
        </a:prstGeom>
        <a:noFill/>
        <a:ln>
          <a:noFill/>
        </a:ln>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0</xdr:colOff>
      <xdr:row>161</xdr:row>
      <xdr:rowOff>0</xdr:rowOff>
    </xdr:from>
    <xdr:ext cx="1485900" cy="868680"/>
    <xdr:pic>
      <xdr:nvPicPr>
        <xdr:cNvPr id="2" name="Picture 1">
          <a:extLst>
            <a:ext uri="{FF2B5EF4-FFF2-40B4-BE49-F238E27FC236}">
              <a16:creationId xmlns:a16="http://schemas.microsoft.com/office/drawing/2014/main" id="{1AA9CDD4-1E64-47D5-84B2-6C4B7332DD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32270700"/>
          <a:ext cx="1485900" cy="868680"/>
        </a:xfrm>
        <a:prstGeom prst="rect">
          <a:avLst/>
        </a:prstGeom>
        <a:noFill/>
        <a:ln>
          <a:noFill/>
        </a:ln>
      </xdr:spPr>
    </xdr:pic>
    <xdr:clientData/>
  </xdr:oneCellAnchor>
  <xdr:oneCellAnchor>
    <xdr:from>
      <xdr:col>3</xdr:col>
      <xdr:colOff>0</xdr:colOff>
      <xdr:row>161</xdr:row>
      <xdr:rowOff>0</xdr:rowOff>
    </xdr:from>
    <xdr:ext cx="1478279" cy="845820"/>
    <xdr:pic>
      <xdr:nvPicPr>
        <xdr:cNvPr id="3" name="Picture 2">
          <a:extLst>
            <a:ext uri="{FF2B5EF4-FFF2-40B4-BE49-F238E27FC236}">
              <a16:creationId xmlns:a16="http://schemas.microsoft.com/office/drawing/2014/main" id="{D7E59267-307A-4746-B9B6-4FBA95DBEFB6}"/>
            </a:ext>
          </a:extLst>
        </xdr:cNvPr>
        <xdr:cNvPicPr>
          <a:picLocks noChangeAspect="1"/>
        </xdr:cNvPicPr>
      </xdr:nvPicPr>
      <xdr:blipFill>
        <a:blip xmlns:r="http://schemas.openxmlformats.org/officeDocument/2006/relationships" r:embed="rId2"/>
        <a:stretch>
          <a:fillRect/>
        </a:stretch>
      </xdr:blipFill>
      <xdr:spPr>
        <a:xfrm>
          <a:off x="6629400" y="32270700"/>
          <a:ext cx="1478279" cy="845820"/>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108</xdr:row>
      <xdr:rowOff>0</xdr:rowOff>
    </xdr:from>
    <xdr:ext cx="1485900" cy="868680"/>
    <xdr:pic>
      <xdr:nvPicPr>
        <xdr:cNvPr id="2" name="Picture 1">
          <a:extLst>
            <a:ext uri="{FF2B5EF4-FFF2-40B4-BE49-F238E27FC236}">
              <a16:creationId xmlns:a16="http://schemas.microsoft.com/office/drawing/2014/main" id="{8E85643E-FE04-43CB-B03C-7855817E1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2510750"/>
          <a:ext cx="1485900" cy="868680"/>
        </a:xfrm>
        <a:prstGeom prst="rect">
          <a:avLst/>
        </a:prstGeom>
        <a:noFill/>
        <a:ln>
          <a:noFill/>
        </a:ln>
      </xdr:spPr>
    </xdr:pic>
    <xdr:clientData/>
  </xdr:oneCellAnchor>
  <xdr:twoCellAnchor editAs="oneCell">
    <xdr:from>
      <xdr:col>3</xdr:col>
      <xdr:colOff>0</xdr:colOff>
      <xdr:row>108</xdr:row>
      <xdr:rowOff>0</xdr:rowOff>
    </xdr:from>
    <xdr:to>
      <xdr:col>3</xdr:col>
      <xdr:colOff>1466850</xdr:colOff>
      <xdr:row>108</xdr:row>
      <xdr:rowOff>882650</xdr:rowOff>
    </xdr:to>
    <xdr:pic>
      <xdr:nvPicPr>
        <xdr:cNvPr id="3" name="Picture 2">
          <a:extLst>
            <a:ext uri="{FF2B5EF4-FFF2-40B4-BE49-F238E27FC236}">
              <a16:creationId xmlns:a16="http://schemas.microsoft.com/office/drawing/2014/main" id="{2E8E6A97-1B12-4BD0-A439-4F4040FC8596}"/>
            </a:ext>
          </a:extLst>
        </xdr:cNvPr>
        <xdr:cNvPicPr>
          <a:picLocks noChangeAspect="1"/>
        </xdr:cNvPicPr>
      </xdr:nvPicPr>
      <xdr:blipFill>
        <a:blip xmlns:r="http://schemas.openxmlformats.org/officeDocument/2006/relationships" r:embed="rId2"/>
        <a:stretch>
          <a:fillRect/>
        </a:stretch>
      </xdr:blipFill>
      <xdr:spPr>
        <a:xfrm>
          <a:off x="6629400" y="22510750"/>
          <a:ext cx="1466850" cy="8826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oneCellAnchor>
    <xdr:from>
      <xdr:col>1</xdr:col>
      <xdr:colOff>0</xdr:colOff>
      <xdr:row>50</xdr:row>
      <xdr:rowOff>0</xdr:rowOff>
    </xdr:from>
    <xdr:ext cx="1485900" cy="868680"/>
    <xdr:pic>
      <xdr:nvPicPr>
        <xdr:cNvPr id="2" name="Picture 1">
          <a:extLst>
            <a:ext uri="{FF2B5EF4-FFF2-40B4-BE49-F238E27FC236}">
              <a16:creationId xmlns:a16="http://schemas.microsoft.com/office/drawing/2014/main" id="{75EB3BCE-1B29-4C87-911D-B8B810F1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1830050"/>
          <a:ext cx="1485900" cy="868680"/>
        </a:xfrm>
        <a:prstGeom prst="rect">
          <a:avLst/>
        </a:prstGeom>
        <a:noFill/>
        <a:ln>
          <a:noFill/>
        </a:ln>
      </xdr:spPr>
    </xdr:pic>
    <xdr:clientData/>
  </xdr:oneCellAnchor>
  <xdr:oneCellAnchor>
    <xdr:from>
      <xdr:col>3</xdr:col>
      <xdr:colOff>0</xdr:colOff>
      <xdr:row>50</xdr:row>
      <xdr:rowOff>0</xdr:rowOff>
    </xdr:from>
    <xdr:ext cx="1485900" cy="868680"/>
    <xdr:pic>
      <xdr:nvPicPr>
        <xdr:cNvPr id="3" name="Picture 2">
          <a:extLst>
            <a:ext uri="{FF2B5EF4-FFF2-40B4-BE49-F238E27FC236}">
              <a16:creationId xmlns:a16="http://schemas.microsoft.com/office/drawing/2014/main" id="{3AE9D32B-1B8F-427D-8963-69DDFBB4F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1830050"/>
          <a:ext cx="1485900" cy="868680"/>
        </a:xfrm>
        <a:prstGeom prst="rect">
          <a:avLst/>
        </a:prstGeom>
        <a:noFill/>
        <a:ln>
          <a:noFill/>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0</xdr:colOff>
      <xdr:row>116</xdr:row>
      <xdr:rowOff>0</xdr:rowOff>
    </xdr:from>
    <xdr:ext cx="1471295" cy="844550"/>
    <xdr:pic>
      <xdr:nvPicPr>
        <xdr:cNvPr id="2" name="Picture 1">
          <a:extLst>
            <a:ext uri="{FF2B5EF4-FFF2-40B4-BE49-F238E27FC236}">
              <a16:creationId xmlns:a16="http://schemas.microsoft.com/office/drawing/2014/main" id="{F03DB013-E506-4CC6-A0CD-2C711AA40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23983950"/>
          <a:ext cx="1471295" cy="844550"/>
        </a:xfrm>
        <a:prstGeom prst="rect">
          <a:avLst/>
        </a:prstGeom>
        <a:noFill/>
        <a:ln>
          <a:noFill/>
        </a:ln>
      </xdr:spPr>
    </xdr:pic>
    <xdr:clientData/>
  </xdr:oneCellAnchor>
  <xdr:oneCellAnchor>
    <xdr:from>
      <xdr:col>3</xdr:col>
      <xdr:colOff>0</xdr:colOff>
      <xdr:row>116</xdr:row>
      <xdr:rowOff>0</xdr:rowOff>
    </xdr:from>
    <xdr:ext cx="1460500" cy="853793"/>
    <xdr:pic>
      <xdr:nvPicPr>
        <xdr:cNvPr id="3" name="Picture 2">
          <a:extLst>
            <a:ext uri="{FF2B5EF4-FFF2-40B4-BE49-F238E27FC236}">
              <a16:creationId xmlns:a16="http://schemas.microsoft.com/office/drawing/2014/main" id="{68D5D42A-C9A7-42B7-AF9B-7B364CBAAD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29400" y="23983950"/>
          <a:ext cx="1460500" cy="853793"/>
        </a:xfrm>
        <a:prstGeom prst="rect">
          <a:avLst/>
        </a:prstGeom>
        <a:noFill/>
        <a:ln>
          <a:noFill/>
        </a:ln>
      </xdr:spPr>
    </xdr:pic>
    <xdr:clientData/>
  </xdr:oneCellAnchor>
  <xdr:oneCellAnchor>
    <xdr:from>
      <xdr:col>5</xdr:col>
      <xdr:colOff>0</xdr:colOff>
      <xdr:row>116</xdr:row>
      <xdr:rowOff>0</xdr:rowOff>
    </xdr:from>
    <xdr:ext cx="1471295" cy="844550"/>
    <xdr:pic>
      <xdr:nvPicPr>
        <xdr:cNvPr id="4" name="Picture 3">
          <a:extLst>
            <a:ext uri="{FF2B5EF4-FFF2-40B4-BE49-F238E27FC236}">
              <a16:creationId xmlns:a16="http://schemas.microsoft.com/office/drawing/2014/main" id="{4F08EBFF-678C-45DE-95F6-2C2BC87A2A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45550" y="23983950"/>
          <a:ext cx="1471295" cy="844550"/>
        </a:xfrm>
        <a:prstGeom prst="rect">
          <a:avLst/>
        </a:prstGeom>
        <a:noFill/>
        <a:ln>
          <a:noFill/>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0</xdr:colOff>
      <xdr:row>44</xdr:row>
      <xdr:rowOff>0</xdr:rowOff>
    </xdr:from>
    <xdr:ext cx="1485900" cy="868680"/>
    <xdr:pic>
      <xdr:nvPicPr>
        <xdr:cNvPr id="2" name="Picture 1">
          <a:extLst>
            <a:ext uri="{FF2B5EF4-FFF2-40B4-BE49-F238E27FC236}">
              <a16:creationId xmlns:a16="http://schemas.microsoft.com/office/drawing/2014/main" id="{481C1BE5-F709-4555-A296-31FDD546B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9988550"/>
          <a:ext cx="1485900" cy="868680"/>
        </a:xfrm>
        <a:prstGeom prst="rect">
          <a:avLst/>
        </a:prstGeom>
        <a:noFill/>
        <a:ln>
          <a:noFill/>
        </a:ln>
      </xdr:spPr>
    </xdr:pic>
    <xdr:clientData/>
  </xdr:oneCellAnchor>
  <xdr:oneCellAnchor>
    <xdr:from>
      <xdr:col>3</xdr:col>
      <xdr:colOff>0</xdr:colOff>
      <xdr:row>44</xdr:row>
      <xdr:rowOff>0</xdr:rowOff>
    </xdr:from>
    <xdr:ext cx="1485900" cy="868680"/>
    <xdr:pic>
      <xdr:nvPicPr>
        <xdr:cNvPr id="3" name="Picture 2">
          <a:extLst>
            <a:ext uri="{FF2B5EF4-FFF2-40B4-BE49-F238E27FC236}">
              <a16:creationId xmlns:a16="http://schemas.microsoft.com/office/drawing/2014/main" id="{33EFFBE4-48EF-4A3E-B2AA-97D2E9B675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54850" y="9988550"/>
          <a:ext cx="1485900" cy="868680"/>
        </a:xfrm>
        <a:prstGeom prst="rect">
          <a:avLst/>
        </a:prstGeom>
        <a:noFill/>
        <a:ln>
          <a:noFill/>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0</xdr:colOff>
      <xdr:row>44</xdr:row>
      <xdr:rowOff>0</xdr:rowOff>
    </xdr:from>
    <xdr:ext cx="1485900" cy="868680"/>
    <xdr:pic>
      <xdr:nvPicPr>
        <xdr:cNvPr id="2" name="Picture 1">
          <a:extLst>
            <a:ext uri="{FF2B5EF4-FFF2-40B4-BE49-F238E27FC236}">
              <a16:creationId xmlns:a16="http://schemas.microsoft.com/office/drawing/2014/main" id="{F13B149F-EFB7-4D7B-8BFC-89089900B8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9988550"/>
          <a:ext cx="1485900" cy="868680"/>
        </a:xfrm>
        <a:prstGeom prst="rect">
          <a:avLst/>
        </a:prstGeom>
        <a:noFill/>
        <a:ln>
          <a:noFill/>
        </a:ln>
      </xdr:spPr>
    </xdr:pic>
    <xdr:clientData/>
  </xdr:oneCellAnchor>
  <xdr:oneCellAnchor>
    <xdr:from>
      <xdr:col>3</xdr:col>
      <xdr:colOff>0</xdr:colOff>
      <xdr:row>44</xdr:row>
      <xdr:rowOff>0</xdr:rowOff>
    </xdr:from>
    <xdr:ext cx="1485900" cy="868680"/>
    <xdr:pic>
      <xdr:nvPicPr>
        <xdr:cNvPr id="3" name="Picture 2">
          <a:extLst>
            <a:ext uri="{FF2B5EF4-FFF2-40B4-BE49-F238E27FC236}">
              <a16:creationId xmlns:a16="http://schemas.microsoft.com/office/drawing/2014/main" id="{BB5C974C-F4EC-4764-9065-41A9568BD2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54850" y="9988550"/>
          <a:ext cx="1485900" cy="868680"/>
        </a:xfrm>
        <a:prstGeom prst="rect">
          <a:avLst/>
        </a:prstGeom>
        <a:noFill/>
        <a:ln>
          <a:noFill/>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0</xdr:colOff>
      <xdr:row>95</xdr:row>
      <xdr:rowOff>0</xdr:rowOff>
    </xdr:from>
    <xdr:ext cx="1485900" cy="868680"/>
    <xdr:pic>
      <xdr:nvPicPr>
        <xdr:cNvPr id="2" name="Picture 1">
          <a:extLst>
            <a:ext uri="{FF2B5EF4-FFF2-40B4-BE49-F238E27FC236}">
              <a16:creationId xmlns:a16="http://schemas.microsoft.com/office/drawing/2014/main" id="{359E11CC-F311-4DB0-96E7-CEC23DB57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9700" y="19380200"/>
          <a:ext cx="1485900" cy="868680"/>
        </a:xfrm>
        <a:prstGeom prst="rect">
          <a:avLst/>
        </a:prstGeom>
        <a:noFill/>
        <a:ln>
          <a:noFill/>
        </a:ln>
      </xdr:spPr>
    </xdr:pic>
    <xdr:clientData/>
  </xdr:oneCellAnchor>
  <xdr:oneCellAnchor>
    <xdr:from>
      <xdr:col>3</xdr:col>
      <xdr:colOff>0</xdr:colOff>
      <xdr:row>95</xdr:row>
      <xdr:rowOff>0</xdr:rowOff>
    </xdr:from>
    <xdr:ext cx="1485900" cy="868680"/>
    <xdr:pic>
      <xdr:nvPicPr>
        <xdr:cNvPr id="3" name="Picture 2">
          <a:extLst>
            <a:ext uri="{FF2B5EF4-FFF2-40B4-BE49-F238E27FC236}">
              <a16:creationId xmlns:a16="http://schemas.microsoft.com/office/drawing/2014/main" id="{32C0F078-C572-40BB-A438-7D23CD50D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54850" y="19380200"/>
          <a:ext cx="1485900" cy="868680"/>
        </a:xfrm>
        <a:prstGeom prst="rect">
          <a:avLst/>
        </a:prstGeom>
        <a:noFill/>
        <a:ln>
          <a:noFill/>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0</xdr:colOff>
      <xdr:row>43</xdr:row>
      <xdr:rowOff>0</xdr:rowOff>
    </xdr:from>
    <xdr:ext cx="1485900" cy="868680"/>
    <xdr:pic>
      <xdr:nvPicPr>
        <xdr:cNvPr id="2" name="Picture 1">
          <a:extLst>
            <a:ext uri="{FF2B5EF4-FFF2-40B4-BE49-F238E27FC236}">
              <a16:creationId xmlns:a16="http://schemas.microsoft.com/office/drawing/2014/main" id="{9B33DFDF-3FE7-4F36-A8A5-BCEADCB4BB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92550" y="9880600"/>
          <a:ext cx="1485900" cy="868680"/>
        </a:xfrm>
        <a:prstGeom prst="rect">
          <a:avLst/>
        </a:prstGeom>
        <a:noFill/>
        <a:ln>
          <a:noFill/>
        </a:ln>
      </xdr:spPr>
    </xdr:pic>
    <xdr:clientData/>
  </xdr:oneCellAnchor>
  <xdr:oneCellAnchor>
    <xdr:from>
      <xdr:col>3</xdr:col>
      <xdr:colOff>0</xdr:colOff>
      <xdr:row>43</xdr:row>
      <xdr:rowOff>0</xdr:rowOff>
    </xdr:from>
    <xdr:ext cx="1485900" cy="868680"/>
    <xdr:pic>
      <xdr:nvPicPr>
        <xdr:cNvPr id="3" name="Picture 2">
          <a:extLst>
            <a:ext uri="{FF2B5EF4-FFF2-40B4-BE49-F238E27FC236}">
              <a16:creationId xmlns:a16="http://schemas.microsoft.com/office/drawing/2014/main" id="{73F91CB5-D38C-4520-B7DA-A563FE98E8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97700" y="9880600"/>
          <a:ext cx="1485900" cy="868680"/>
        </a:xfrm>
        <a:prstGeom prst="rect">
          <a:avLst/>
        </a:prstGeom>
        <a:noFill/>
        <a:ln>
          <a:noFill/>
        </a:ln>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0</xdr:colOff>
      <xdr:row>43</xdr:row>
      <xdr:rowOff>0</xdr:rowOff>
    </xdr:from>
    <xdr:ext cx="1485900" cy="868680"/>
    <xdr:pic>
      <xdr:nvPicPr>
        <xdr:cNvPr id="2" name="Picture 1">
          <a:extLst>
            <a:ext uri="{FF2B5EF4-FFF2-40B4-BE49-F238E27FC236}">
              <a16:creationId xmlns:a16="http://schemas.microsoft.com/office/drawing/2014/main" id="{13508689-334A-49AD-B65B-F2929A898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3500" y="10356850"/>
          <a:ext cx="1485900" cy="868680"/>
        </a:xfrm>
        <a:prstGeom prst="rect">
          <a:avLst/>
        </a:prstGeom>
        <a:noFill/>
        <a:ln>
          <a:noFill/>
        </a:ln>
      </xdr:spPr>
    </xdr:pic>
    <xdr:clientData/>
  </xdr:oneCellAnchor>
  <xdr:oneCellAnchor>
    <xdr:from>
      <xdr:col>3</xdr:col>
      <xdr:colOff>0</xdr:colOff>
      <xdr:row>43</xdr:row>
      <xdr:rowOff>0</xdr:rowOff>
    </xdr:from>
    <xdr:ext cx="1485900" cy="868680"/>
    <xdr:pic>
      <xdr:nvPicPr>
        <xdr:cNvPr id="3" name="Picture 2">
          <a:extLst>
            <a:ext uri="{FF2B5EF4-FFF2-40B4-BE49-F238E27FC236}">
              <a16:creationId xmlns:a16="http://schemas.microsoft.com/office/drawing/2014/main" id="{E4A70ECF-06FC-4E4F-91B1-47737BCAA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8650" y="10356850"/>
          <a:ext cx="1485900" cy="86868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1</xdr:col>
      <xdr:colOff>0</xdr:colOff>
      <xdr:row>43</xdr:row>
      <xdr:rowOff>0</xdr:rowOff>
    </xdr:from>
    <xdr:ext cx="1485900" cy="868680"/>
    <xdr:pic>
      <xdr:nvPicPr>
        <xdr:cNvPr id="2" name="Picture 1">
          <a:extLst>
            <a:ext uri="{FF2B5EF4-FFF2-40B4-BE49-F238E27FC236}">
              <a16:creationId xmlns:a16="http://schemas.microsoft.com/office/drawing/2014/main" id="{76DFAAF6-C189-4C61-9694-AB71005F2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0356850"/>
          <a:ext cx="1485900" cy="868680"/>
        </a:xfrm>
        <a:prstGeom prst="rect">
          <a:avLst/>
        </a:prstGeom>
        <a:noFill/>
        <a:ln>
          <a:noFill/>
        </a:ln>
      </xdr:spPr>
    </xdr:pic>
    <xdr:clientData/>
  </xdr:oneCellAnchor>
  <xdr:oneCellAnchor>
    <xdr:from>
      <xdr:col>3</xdr:col>
      <xdr:colOff>0</xdr:colOff>
      <xdr:row>43</xdr:row>
      <xdr:rowOff>0</xdr:rowOff>
    </xdr:from>
    <xdr:ext cx="1485900" cy="868680"/>
    <xdr:pic>
      <xdr:nvPicPr>
        <xdr:cNvPr id="3" name="Picture 2">
          <a:extLst>
            <a:ext uri="{FF2B5EF4-FFF2-40B4-BE49-F238E27FC236}">
              <a16:creationId xmlns:a16="http://schemas.microsoft.com/office/drawing/2014/main" id="{CC68D73A-CD1B-4B0D-86A6-6B4E01F05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0356850"/>
          <a:ext cx="1485900" cy="868680"/>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0</xdr:colOff>
      <xdr:row>43</xdr:row>
      <xdr:rowOff>0</xdr:rowOff>
    </xdr:from>
    <xdr:ext cx="1485900" cy="868680"/>
    <xdr:pic>
      <xdr:nvPicPr>
        <xdr:cNvPr id="2" name="Picture 1">
          <a:extLst>
            <a:ext uri="{FF2B5EF4-FFF2-40B4-BE49-F238E27FC236}">
              <a16:creationId xmlns:a16="http://schemas.microsoft.com/office/drawing/2014/main" id="{1740E25F-A945-4174-AFD8-4912AC956B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10356850"/>
          <a:ext cx="1485900" cy="868680"/>
        </a:xfrm>
        <a:prstGeom prst="rect">
          <a:avLst/>
        </a:prstGeom>
        <a:noFill/>
        <a:ln>
          <a:noFill/>
        </a:ln>
      </xdr:spPr>
    </xdr:pic>
    <xdr:clientData/>
  </xdr:oneCellAnchor>
  <xdr:oneCellAnchor>
    <xdr:from>
      <xdr:col>3</xdr:col>
      <xdr:colOff>0</xdr:colOff>
      <xdr:row>43</xdr:row>
      <xdr:rowOff>0</xdr:rowOff>
    </xdr:from>
    <xdr:ext cx="1485900" cy="868680"/>
    <xdr:pic>
      <xdr:nvPicPr>
        <xdr:cNvPr id="3" name="Picture 2">
          <a:extLst>
            <a:ext uri="{FF2B5EF4-FFF2-40B4-BE49-F238E27FC236}">
              <a16:creationId xmlns:a16="http://schemas.microsoft.com/office/drawing/2014/main" id="{A5E9D5B0-076E-440B-A01C-4855F910BC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0356850"/>
          <a:ext cx="1485900" cy="86868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3225-7742-43D2-A367-8C116753B299}">
  <dimension ref="A1:G47"/>
  <sheetViews>
    <sheetView tabSelected="1" zoomScale="74" zoomScaleNormal="74" workbookViewId="0">
      <selection activeCell="D38" sqref="D38"/>
    </sheetView>
  </sheetViews>
  <sheetFormatPr defaultRowHeight="14.5" x14ac:dyDescent="0.35"/>
  <cols>
    <col min="1" max="1" width="8.453125" bestFit="1" customWidth="1"/>
    <col min="2" max="2" width="55.453125" bestFit="1" customWidth="1"/>
    <col min="3" max="3" width="20.453125" bestFit="1" customWidth="1"/>
    <col min="4" max="4" width="22.90625" bestFit="1" customWidth="1"/>
    <col min="5" max="5" width="21.81640625" bestFit="1" customWidth="1"/>
    <col min="6" max="6" width="22.90625" bestFit="1" customWidth="1"/>
    <col min="7" max="7" width="21.81640625" bestFit="1" customWidth="1"/>
  </cols>
  <sheetData>
    <row r="1" spans="1:7" s="1" customFormat="1" x14ac:dyDescent="0.35">
      <c r="A1" s="150" t="s">
        <v>2060</v>
      </c>
      <c r="B1" s="150"/>
    </row>
    <row r="2" spans="1:7" s="1" customFormat="1" x14ac:dyDescent="0.35">
      <c r="A2" s="150" t="s">
        <v>2061</v>
      </c>
      <c r="B2" s="150"/>
    </row>
    <row r="3" spans="1:7" s="1" customFormat="1" x14ac:dyDescent="0.35">
      <c r="A3" s="1" t="s">
        <v>2058</v>
      </c>
      <c r="B3" s="1" t="s">
        <v>2059</v>
      </c>
      <c r="C3" s="407" t="s">
        <v>2243</v>
      </c>
      <c r="D3" s="407" t="s">
        <v>2156</v>
      </c>
      <c r="E3" s="407" t="s">
        <v>2157</v>
      </c>
      <c r="F3" s="407" t="s">
        <v>2156</v>
      </c>
      <c r="G3" s="407" t="s">
        <v>2157</v>
      </c>
    </row>
    <row r="4" spans="1:7" ht="94.5" customHeight="1" x14ac:dyDescent="0.35">
      <c r="A4" t="s">
        <v>2062</v>
      </c>
      <c r="B4" s="50" t="str">
        <f>HYPERLINK("[EDEL_Portfolio Monthly Notes 31-Oct-2022.xlsx]EDACBF!A1","Edelweiss Money Market Fund")</f>
        <v>Edelweiss Money Market Fund</v>
      </c>
      <c r="C4" s="408"/>
      <c r="D4" s="409" t="s">
        <v>2159</v>
      </c>
      <c r="E4" s="410"/>
      <c r="F4" s="409" t="s">
        <v>2160</v>
      </c>
      <c r="G4" s="410"/>
    </row>
    <row r="5" spans="1:7" ht="94.5" customHeight="1" x14ac:dyDescent="0.35">
      <c r="A5" t="s">
        <v>2063</v>
      </c>
      <c r="B5" s="50" t="str">
        <f>HYPERLINK("[EDEL_Portfolio Monthly Notes 31-Oct-2022.xlsx]EDBE23!A1","BHARAT Bond ETF - April 2023")</f>
        <v>BHARAT Bond ETF - April 2023</v>
      </c>
      <c r="C5" s="408"/>
      <c r="D5" s="409" t="s">
        <v>2162</v>
      </c>
      <c r="E5" s="408"/>
    </row>
    <row r="6" spans="1:7" ht="94.5" customHeight="1" x14ac:dyDescent="0.35">
      <c r="A6" t="s">
        <v>2064</v>
      </c>
      <c r="B6" s="50" t="str">
        <f>HYPERLINK("[EDEL_Portfolio Monthly Notes 31-Oct-2022.xlsx]EDBE25!A1","BHARAT Bond ETF - April 2025")</f>
        <v>BHARAT Bond ETF - April 2025</v>
      </c>
      <c r="C6" s="410"/>
      <c r="D6" s="409" t="s">
        <v>2164</v>
      </c>
      <c r="E6" s="410"/>
    </row>
    <row r="7" spans="1:7" ht="94.5" customHeight="1" x14ac:dyDescent="0.35">
      <c r="A7" t="s">
        <v>2065</v>
      </c>
      <c r="B7" s="50" t="str">
        <f>HYPERLINK("[EDEL_Portfolio Monthly Notes 31-Oct-2022.xlsx]EDBE30!A1","BHARAT Bond ETF - April 2030")</f>
        <v>BHARAT Bond ETF - April 2030</v>
      </c>
      <c r="C7" s="408"/>
      <c r="D7" s="409" t="s">
        <v>2166</v>
      </c>
      <c r="E7" s="408"/>
    </row>
    <row r="8" spans="1:7" ht="94.5" customHeight="1" x14ac:dyDescent="0.35">
      <c r="A8" t="s">
        <v>2066</v>
      </c>
      <c r="B8" s="50" t="str">
        <f>HYPERLINK("[EDEL_Portfolio Monthly Notes 31-Oct-2022.xlsx]EDBE31!A1","BHARAT Bond ETF - April 2031")</f>
        <v>BHARAT Bond ETF - April 2031</v>
      </c>
      <c r="C8" s="408"/>
      <c r="D8" s="409" t="s">
        <v>2168</v>
      </c>
      <c r="E8" s="408"/>
    </row>
    <row r="9" spans="1:7" ht="94.5" customHeight="1" x14ac:dyDescent="0.35">
      <c r="A9" t="s">
        <v>2067</v>
      </c>
      <c r="B9" s="50" t="str">
        <f>HYPERLINK("[EDEL_Portfolio Monthly Notes 31-Oct-2022.xlsx]EDBE32!A1","BHARAT Bond ETF - April 2032")</f>
        <v>BHARAT Bond ETF - April 2032</v>
      </c>
      <c r="C9" s="411"/>
      <c r="D9" s="409" t="s">
        <v>2170</v>
      </c>
      <c r="E9" s="411"/>
    </row>
    <row r="10" spans="1:7" ht="94.5" customHeight="1" x14ac:dyDescent="0.35">
      <c r="A10" t="s">
        <v>2068</v>
      </c>
      <c r="B10" s="50" t="str">
        <f>HYPERLINK("[EDEL_Portfolio Monthly Notes 31-Oct-2022.xlsx]EDBPDF!A1","Edelweiss Banking and PSU Debt Fund")</f>
        <v>Edelweiss Banking and PSU Debt Fund</v>
      </c>
      <c r="C10" s="408"/>
      <c r="D10" s="412" t="s">
        <v>2172</v>
      </c>
      <c r="E10" s="408"/>
      <c r="F10" s="409" t="s">
        <v>2173</v>
      </c>
      <c r="G10" s="408"/>
    </row>
    <row r="11" spans="1:7" ht="94.5" customHeight="1" x14ac:dyDescent="0.35">
      <c r="A11" t="s">
        <v>2069</v>
      </c>
      <c r="B11" s="50" t="str">
        <f>HYPERLINK("[EDEL_Portfolio Monthly Notes 31-Oct-2022.xlsx]EDCG27!A1","Edelweiss CRISIL IBX 50 50 Gilt Plus SDL June 2027 Index Fund")</f>
        <v>Edelweiss CRISIL IBX 50 50 Gilt Plus SDL June 2027 Index Fund</v>
      </c>
      <c r="C11" s="411"/>
      <c r="D11" s="409" t="s">
        <v>2242</v>
      </c>
      <c r="E11" s="411"/>
    </row>
    <row r="12" spans="1:7" ht="94.5" customHeight="1" x14ac:dyDescent="0.35">
      <c r="A12" t="s">
        <v>2070</v>
      </c>
      <c r="B12" s="50" t="str">
        <f>HYPERLINK("[EDEL_Portfolio Monthly Notes 31-Oct-2022.xlsx]EDCG37!A1","Edelweiss_CRISIL IBX 50 50 Gilt Plus SDL April 2037 Index Fund")</f>
        <v>Edelweiss_CRISIL IBX 50 50 Gilt Plus SDL April 2037 Index Fund</v>
      </c>
      <c r="C12" s="411"/>
      <c r="D12" s="409" t="s">
        <v>2241</v>
      </c>
      <c r="E12" s="411"/>
    </row>
    <row r="13" spans="1:7" ht="94.5" customHeight="1" x14ac:dyDescent="0.35">
      <c r="A13" t="s">
        <v>2071</v>
      </c>
      <c r="B13" s="50" t="str">
        <f>HYPERLINK("[EDEL_Portfolio Monthly Notes 31-Oct-2022.xlsx]EDCPSF!A1","Edelweiss CRL PSU PL SDL 50 50 Oct-25 FD")</f>
        <v>Edelweiss CRL PSU PL SDL 50 50 Oct-25 FD</v>
      </c>
      <c r="C13" s="411"/>
      <c r="D13" s="409" t="s">
        <v>2177</v>
      </c>
      <c r="E13" s="411"/>
    </row>
    <row r="14" spans="1:7" ht="94.5" customHeight="1" x14ac:dyDescent="0.35">
      <c r="A14" t="s">
        <v>2072</v>
      </c>
      <c r="B14" s="50" t="str">
        <f>HYPERLINK("[EDEL_Portfolio Monthly Notes 31-Oct-2022.xlsx]EDFF23!A1","BHARAT Bond FOF - April 2023")</f>
        <v>BHARAT Bond FOF - April 2023</v>
      </c>
      <c r="C14" s="408"/>
      <c r="D14" s="409" t="s">
        <v>2162</v>
      </c>
      <c r="E14" s="408"/>
    </row>
    <row r="15" spans="1:7" ht="94.5" customHeight="1" x14ac:dyDescent="0.35">
      <c r="A15" t="s">
        <v>2073</v>
      </c>
      <c r="B15" s="50" t="str">
        <f>HYPERLINK("[EDEL_Portfolio Monthly Notes 31-Oct-2022.xlsx]EDFF25!A1","BHARAT Bond FOF - April 2025")</f>
        <v>BHARAT Bond FOF - April 2025</v>
      </c>
      <c r="C15" s="408"/>
      <c r="D15" s="409" t="s">
        <v>2180</v>
      </c>
      <c r="E15" s="411"/>
    </row>
    <row r="16" spans="1:7" ht="94.5" customHeight="1" x14ac:dyDescent="0.35">
      <c r="A16" t="s">
        <v>2074</v>
      </c>
      <c r="B16" s="50" t="str">
        <f>HYPERLINK("[EDEL_Portfolio Monthly Notes 31-Oct-2022.xlsx]EDFF30!A1","BHARAT Bond FOF - April 2030")</f>
        <v>BHARAT Bond FOF - April 2030</v>
      </c>
      <c r="C16" s="408"/>
      <c r="D16" s="409" t="s">
        <v>2166</v>
      </c>
      <c r="E16" s="411"/>
    </row>
    <row r="17" spans="1:7" ht="94.5" customHeight="1" x14ac:dyDescent="0.35">
      <c r="A17" t="s">
        <v>2075</v>
      </c>
      <c r="B17" s="50" t="str">
        <f>HYPERLINK("[EDEL_Portfolio Monthly Notes 31-Oct-2022.xlsx]EDFF31!A1","BHARAT Bond FOF - April 2031")</f>
        <v>BHARAT Bond FOF - April 2031</v>
      </c>
      <c r="C17" s="411"/>
      <c r="D17" s="409" t="s">
        <v>2168</v>
      </c>
      <c r="E17" s="411"/>
    </row>
    <row r="18" spans="1:7" ht="94.5" customHeight="1" x14ac:dyDescent="0.35">
      <c r="A18" t="s">
        <v>2076</v>
      </c>
      <c r="B18" s="50" t="str">
        <f>HYPERLINK("[EDEL_Portfolio Monthly Notes 31-Oct-2022.xlsx]EDFF32!A1","BHARAT Bond FOF - April 2032")</f>
        <v>BHARAT Bond FOF - April 2032</v>
      </c>
      <c r="C18" s="408"/>
      <c r="D18" s="409" t="s">
        <v>2170</v>
      </c>
      <c r="E18" s="411"/>
    </row>
    <row r="19" spans="1:7" ht="94.5" customHeight="1" x14ac:dyDescent="0.35">
      <c r="A19" t="s">
        <v>2077</v>
      </c>
      <c r="B19" s="50" t="str">
        <f>HYPERLINK("[EDEL_Portfolio Monthly Notes 31-Oct-2022.xlsx]EDGSEC!A1","Edelweiss Government Securities Fund")</f>
        <v>Edelweiss Government Securities Fund</v>
      </c>
      <c r="C19" s="411"/>
      <c r="D19" s="409" t="s">
        <v>2185</v>
      </c>
      <c r="E19" s="411"/>
      <c r="F19" s="409" t="s">
        <v>2186</v>
      </c>
      <c r="G19" s="411"/>
    </row>
    <row r="20" spans="1:7" ht="94.5" customHeight="1" x14ac:dyDescent="0.35">
      <c r="A20" t="s">
        <v>2078</v>
      </c>
      <c r="B20" s="50" t="str">
        <f>HYPERLINK("[EDEL_Portfolio Monthly Notes 31-Oct-2022.xlsx]EDNP27!A1","Edelweiss Nifty PSU Bond Plus SDL Apr2027 50 50 Index")</f>
        <v>Edelweiss Nifty PSU Bond Plus SDL Apr2027 50 50 Index</v>
      </c>
      <c r="C20" s="411"/>
      <c r="D20" s="409" t="s">
        <v>2175</v>
      </c>
      <c r="E20" s="411"/>
    </row>
    <row r="21" spans="1:7" ht="94.5" customHeight="1" x14ac:dyDescent="0.35">
      <c r="A21" t="s">
        <v>2079</v>
      </c>
      <c r="B21" s="50" t="str">
        <f>HYPERLINK("[EDEL_Portfolio Monthly Notes 31-Oct-2022.xlsx]EDNPSF!A1","Edelweiss Nifty PSU Bond Plus SDL Apr2026 50 50 Index Fund")</f>
        <v>Edelweiss Nifty PSU Bond Plus SDL Apr2026 50 50 Index Fund</v>
      </c>
      <c r="C21" s="411"/>
      <c r="D21" s="409" t="s">
        <v>2188</v>
      </c>
      <c r="E21" s="408"/>
    </row>
    <row r="22" spans="1:7" ht="94.5" customHeight="1" x14ac:dyDescent="0.35">
      <c r="A22" t="s">
        <v>2080</v>
      </c>
      <c r="B22" s="50" t="str">
        <f>HYPERLINK("[EDEL_Portfolio Monthly Notes 31-Oct-2022.xlsx]EDONTF!A1","EDELWEISS OVERNIGHT FUND")</f>
        <v>EDELWEISS OVERNIGHT FUND</v>
      </c>
      <c r="C22" s="408"/>
      <c r="D22" s="409" t="s">
        <v>2190</v>
      </c>
      <c r="E22" s="408"/>
    </row>
    <row r="23" spans="1:7" ht="94.5" customHeight="1" x14ac:dyDescent="0.35">
      <c r="A23" t="s">
        <v>2081</v>
      </c>
      <c r="B23" s="50" t="str">
        <f>HYPERLINK("[EDEL_Portfolio Monthly Notes 31-Oct-2022.xlsx]EEARBF!A1","Edelweiss Arbitrage Fund")</f>
        <v>Edelweiss Arbitrage Fund</v>
      </c>
      <c r="C23" s="408"/>
      <c r="D23" s="408" t="s">
        <v>2231</v>
      </c>
      <c r="E23" s="408"/>
    </row>
    <row r="24" spans="1:7" ht="94.5" customHeight="1" x14ac:dyDescent="0.35">
      <c r="A24" t="s">
        <v>2082</v>
      </c>
      <c r="B24" s="50" t="str">
        <f>HYPERLINK("[EDEL_Portfolio Monthly Notes 31-Oct-2022.xlsx]EEARFD!A1","Edelweiss Balanced Advantage Fund")</f>
        <v>Edelweiss Balanced Advantage Fund</v>
      </c>
      <c r="C24" s="408"/>
      <c r="D24" s="409" t="s">
        <v>2232</v>
      </c>
      <c r="E24" s="408"/>
    </row>
    <row r="25" spans="1:7" ht="94.5" customHeight="1" x14ac:dyDescent="0.35">
      <c r="A25" t="s">
        <v>2083</v>
      </c>
      <c r="B25" s="50" t="str">
        <f>HYPERLINK("[EDEL_Portfolio Monthly Notes 31-Oct-2022.xlsx]EEDGEF!A1","Edelweiss Large Cap Fund")</f>
        <v>Edelweiss Large Cap Fund</v>
      </c>
      <c r="C25" s="408"/>
      <c r="D25" s="408" t="s">
        <v>2233</v>
      </c>
      <c r="E25" s="408"/>
    </row>
    <row r="26" spans="1:7" ht="94.5" customHeight="1" x14ac:dyDescent="0.35">
      <c r="A26" t="s">
        <v>2084</v>
      </c>
      <c r="B26" s="50" t="str">
        <f>HYPERLINK("[EDEL_Portfolio Monthly Notes 31-Oct-2022.xlsx]EEECRF!A1","Edelweiss Flexi-Cap Fund")</f>
        <v>Edelweiss Flexi-Cap Fund</v>
      </c>
      <c r="C26" s="408"/>
      <c r="D26" s="408" t="s">
        <v>2195</v>
      </c>
      <c r="E26" s="408"/>
    </row>
    <row r="27" spans="1:7" ht="94.5" customHeight="1" x14ac:dyDescent="0.35">
      <c r="A27" t="s">
        <v>2085</v>
      </c>
      <c r="B27" s="50" t="str">
        <f>HYPERLINK("[EDEL_Portfolio Monthly Notes 31-Oct-2022.xlsx]EEELSS!A1","Edelweiss Long Term Equity Fund")</f>
        <v>Edelweiss Long Term Equity Fund</v>
      </c>
      <c r="C27" s="408"/>
      <c r="D27" s="408" t="s">
        <v>2195</v>
      </c>
      <c r="E27" s="408"/>
    </row>
    <row r="28" spans="1:7" ht="94.5" customHeight="1" x14ac:dyDescent="0.35">
      <c r="A28" t="s">
        <v>2086</v>
      </c>
      <c r="B28" s="50" t="str">
        <f>HYPERLINK("[EDEL_Portfolio Monthly Notes 31-Oct-2022.xlsx]EEEQTF!A1","Edelweiss Large &amp; Mid Cap Fund")</f>
        <v>Edelweiss Large &amp; Mid Cap Fund</v>
      </c>
      <c r="C28" s="408"/>
      <c r="D28" s="409" t="s">
        <v>2198</v>
      </c>
      <c r="E28" s="408"/>
    </row>
    <row r="29" spans="1:7" ht="94.5" customHeight="1" x14ac:dyDescent="0.35">
      <c r="A29" t="s">
        <v>2087</v>
      </c>
      <c r="B29" s="50" t="str">
        <f>HYPERLINK("[EDEL_Portfolio Monthly Notes 31-Oct-2022.xlsx]EEESCF!A1","Edelweiss Small Cap Fund")</f>
        <v>Edelweiss Small Cap Fund</v>
      </c>
      <c r="C29" s="408"/>
      <c r="D29" s="408" t="s">
        <v>2200</v>
      </c>
      <c r="E29" s="408"/>
    </row>
    <row r="30" spans="1:7" ht="94.5" customHeight="1" x14ac:dyDescent="0.35">
      <c r="A30" t="s">
        <v>2088</v>
      </c>
      <c r="B30" s="50" t="str">
        <f>HYPERLINK("[EDEL_Portfolio Monthly Notes 31-Oct-2022.xlsx]EEESSF!A1","Edelweiss Equity Savings Fund")</f>
        <v>Edelweiss Equity Savings Fund</v>
      </c>
      <c r="C30" s="408"/>
      <c r="D30" s="408" t="s">
        <v>2202</v>
      </c>
      <c r="E30" s="411"/>
    </row>
    <row r="31" spans="1:7" ht="94.5" customHeight="1" x14ac:dyDescent="0.35">
      <c r="A31" t="s">
        <v>2089</v>
      </c>
      <c r="B31" s="50" t="str">
        <f>HYPERLINK("[EDEL_Portfolio Monthly Notes 31-Oct-2022.xlsx]EEFOCF!A1","Edelweiss Focused Equity Fund")</f>
        <v>Edelweiss Focused Equity Fund</v>
      </c>
      <c r="C31" s="411"/>
      <c r="D31" s="408" t="s">
        <v>2204</v>
      </c>
      <c r="E31" s="411"/>
    </row>
    <row r="32" spans="1:7" ht="94.5" customHeight="1" x14ac:dyDescent="0.35">
      <c r="A32" t="s">
        <v>2090</v>
      </c>
      <c r="B32" s="50" t="str">
        <f>HYPERLINK("[EDEL_Portfolio Monthly Notes 31-Oct-2022.xlsx]EEIF30!A1","Edelweiss Nifty 100 Quality 30 Index Fnd")</f>
        <v>Edelweiss Nifty 100 Quality 30 Index Fnd</v>
      </c>
      <c r="C32" s="408"/>
      <c r="D32" s="408" t="s">
        <v>2234</v>
      </c>
      <c r="E32" s="408"/>
    </row>
    <row r="33" spans="1:7" ht="94.5" customHeight="1" x14ac:dyDescent="0.35">
      <c r="A33" t="s">
        <v>2091</v>
      </c>
      <c r="B33" s="50" t="str">
        <f>HYPERLINK("[EDEL_Portfolio Monthly Notes 31-Oct-2022.xlsx]EEIF50!A1","Edelweiss Nifty 50 Index Fund")</f>
        <v>Edelweiss Nifty 50 Index Fund</v>
      </c>
      <c r="C33" s="408"/>
      <c r="D33" s="408" t="s">
        <v>2235</v>
      </c>
      <c r="E33" s="408"/>
    </row>
    <row r="34" spans="1:7" ht="94.5" customHeight="1" x14ac:dyDescent="0.35">
      <c r="A34" t="s">
        <v>2092</v>
      </c>
      <c r="B34" s="50" t="str">
        <f>HYPERLINK("[EDEL_Portfolio Monthly Notes 31-Oct-2022.xlsx]EELMIF!A1","Edelweiss NIFTY Large Mid Cap 250 Index Fund")</f>
        <v>Edelweiss NIFTY Large Mid Cap 250 Index Fund</v>
      </c>
      <c r="C34" s="408"/>
      <c r="D34" s="409" t="s">
        <v>2236</v>
      </c>
      <c r="E34" s="408"/>
    </row>
    <row r="35" spans="1:7" ht="94.5" customHeight="1" x14ac:dyDescent="0.35">
      <c r="A35" t="s">
        <v>2093</v>
      </c>
      <c r="B35" s="50" t="str">
        <f>HYPERLINK("[EDEL_Portfolio Monthly Notes 31-Oct-2022.xlsx]EEMOF1!A1","EDELWEISS RECENTLY LISTED IPO FUND")</f>
        <v>EDELWEISS RECENTLY LISTED IPO FUND</v>
      </c>
      <c r="C35" s="408"/>
      <c r="D35" s="408" t="s">
        <v>2237</v>
      </c>
      <c r="E35" s="408"/>
    </row>
    <row r="36" spans="1:7" ht="94.5" customHeight="1" x14ac:dyDescent="0.35">
      <c r="A36" t="s">
        <v>2094</v>
      </c>
      <c r="B36" s="50" t="str">
        <f>HYPERLINK("[EDEL_Portfolio Monthly Notes 31-Oct-2022.xlsx]EENFBA!A1","Edelweiss ETF - Nifty Bank")</f>
        <v>Edelweiss ETF - Nifty Bank</v>
      </c>
      <c r="C36" s="408"/>
      <c r="D36" s="408" t="s">
        <v>2238</v>
      </c>
      <c r="E36" s="408"/>
    </row>
    <row r="37" spans="1:7" ht="94.5" customHeight="1" x14ac:dyDescent="0.35">
      <c r="A37" t="s">
        <v>2095</v>
      </c>
      <c r="B37" s="50" t="str">
        <f>HYPERLINK("[EDEL_Portfolio Monthly Notes 31-Oct-2022.xlsx]EEPRUA!A1","Edelweiss Aggressive Hybrid Fund")</f>
        <v>Edelweiss Aggressive Hybrid Fund</v>
      </c>
      <c r="C37" s="408"/>
      <c r="D37" s="409" t="s">
        <v>2211</v>
      </c>
      <c r="E37" s="408"/>
    </row>
    <row r="38" spans="1:7" ht="94.5" customHeight="1" x14ac:dyDescent="0.35">
      <c r="A38" t="s">
        <v>2096</v>
      </c>
      <c r="B38" s="50" t="str">
        <f>HYPERLINK("[EDEL_Portfolio Monthly Notes 31-Oct-2022.xlsx]EESMCF!A1","Edelweiss Mid Cap Fund")</f>
        <v>Edelweiss Mid Cap Fund</v>
      </c>
      <c r="C38" s="408"/>
      <c r="D38" s="409" t="s">
        <v>2239</v>
      </c>
      <c r="E38" s="408"/>
    </row>
    <row r="39" spans="1:7" ht="94.5" customHeight="1" x14ac:dyDescent="0.35">
      <c r="A39" t="s">
        <v>2097</v>
      </c>
      <c r="B39" s="50" t="str">
        <f>HYPERLINK("[EDEL_Portfolio Monthly Notes 31-Oct-2022.xlsx]EGSFOF!A1","Edelweiss Gold and Silver ETF FOF")</f>
        <v>Edelweiss Gold and Silver ETF FOF</v>
      </c>
      <c r="C39" s="411"/>
      <c r="D39" s="409" t="s">
        <v>2214</v>
      </c>
      <c r="E39" s="411"/>
    </row>
    <row r="40" spans="1:7" ht="94.5" customHeight="1" x14ac:dyDescent="0.35">
      <c r="A40" t="s">
        <v>2098</v>
      </c>
      <c r="B40" s="50" t="str">
        <f>HYPERLINK("[EDEL_Portfolio Monthly Notes 31-Oct-2022.xlsx]ELLIQF!A1","Edelweiss Liquid Fund")</f>
        <v>Edelweiss Liquid Fund</v>
      </c>
      <c r="C40" s="411"/>
      <c r="D40" s="409" t="s">
        <v>2216</v>
      </c>
      <c r="E40" s="411"/>
      <c r="F40" s="409" t="s">
        <v>2217</v>
      </c>
      <c r="G40" s="408"/>
    </row>
    <row r="41" spans="1:7" ht="94.5" customHeight="1" x14ac:dyDescent="0.35">
      <c r="A41" t="s">
        <v>2099</v>
      </c>
      <c r="B41" s="50" t="str">
        <f>HYPERLINK("[EDEL_Portfolio Monthly Notes 31-Oct-2022.xlsx]EOASEF!A1","Edelweiss ASEAN Equity Off-shore Fund")</f>
        <v>Edelweiss ASEAN Equity Off-shore Fund</v>
      </c>
      <c r="C41" s="408"/>
      <c r="D41" s="409" t="s">
        <v>2240</v>
      </c>
      <c r="E41" s="408"/>
    </row>
    <row r="42" spans="1:7" ht="94.5" customHeight="1" x14ac:dyDescent="0.35">
      <c r="A42" t="s">
        <v>2100</v>
      </c>
      <c r="B42" s="50" t="str">
        <f>HYPERLINK("[EDEL_Portfolio Monthly Notes 31-Oct-2022.xlsx]EOCHIF!A1","Edelweiss Greater China Equity Off-shore Fund")</f>
        <v>Edelweiss Greater China Equity Off-shore Fund</v>
      </c>
      <c r="C42" s="408"/>
      <c r="D42" s="409" t="s">
        <v>2220</v>
      </c>
      <c r="E42" s="408"/>
    </row>
    <row r="43" spans="1:7" ht="94.5" customHeight="1" x14ac:dyDescent="0.35">
      <c r="A43" t="s">
        <v>2101</v>
      </c>
      <c r="B43" s="50" t="str">
        <f>HYPERLINK("[EDEL_Portfolio Monthly Notes 31-Oct-2022.xlsx]EODWHF!A1","Edelweiss MSCI (I) DM &amp; WD HC 45 ID Fund")</f>
        <v>Edelweiss MSCI (I) DM &amp; WD HC 45 ID Fund</v>
      </c>
      <c r="C43" s="408"/>
      <c r="D43" s="409" t="s">
        <v>2222</v>
      </c>
      <c r="E43" s="408"/>
    </row>
    <row r="44" spans="1:7" ht="94.5" customHeight="1" x14ac:dyDescent="0.35">
      <c r="A44" t="s">
        <v>2102</v>
      </c>
      <c r="B44" s="50" t="str">
        <f>HYPERLINK("[EDEL_Portfolio Monthly Notes 31-Oct-2022.xlsx]EOEDOF!A1","Edelweiss Europe Dynamic Equity Offshore Fund")</f>
        <v>Edelweiss Europe Dynamic Equity Offshore Fund</v>
      </c>
      <c r="C44" s="408"/>
      <c r="D44" s="413" t="s">
        <v>2224</v>
      </c>
      <c r="E44" s="408"/>
    </row>
    <row r="45" spans="1:7" ht="94.5" customHeight="1" x14ac:dyDescent="0.35">
      <c r="A45" t="s">
        <v>2103</v>
      </c>
      <c r="B45" s="50" t="str">
        <f>HYPERLINK("[EDEL_Portfolio Monthly Notes 31-Oct-2022.xlsx]EOEMOP!A1","Edelweiss Emerging Markets Opportunities Equity Offshore Fund")</f>
        <v>Edelweiss Emerging Markets Opportunities Equity Offshore Fund</v>
      </c>
      <c r="C45" s="408"/>
      <c r="D45" s="409" t="s">
        <v>2226</v>
      </c>
      <c r="E45" s="408"/>
    </row>
    <row r="46" spans="1:7" ht="94.5" customHeight="1" x14ac:dyDescent="0.35">
      <c r="A46" t="s">
        <v>2104</v>
      </c>
      <c r="B46" s="50" t="str">
        <f>HYPERLINK("[EDEL_Portfolio Monthly Notes 31-Oct-2022.xlsx]EOUSEF!A1","Edelweiss US Value Equity Off-shore Fund")</f>
        <v>Edelweiss US Value Equity Off-shore Fund</v>
      </c>
      <c r="C46" s="408"/>
      <c r="D46" s="409" t="s">
        <v>2228</v>
      </c>
      <c r="E46" s="408"/>
    </row>
    <row r="47" spans="1:7" ht="94.5" customHeight="1" x14ac:dyDescent="0.35">
      <c r="A47" t="s">
        <v>2105</v>
      </c>
      <c r="B47" s="50" t="str">
        <f>HYPERLINK("[EDEL_Portfolio Monthly Notes 31-Oct-2022.xlsx]EOUSTF!A1","EDELWEISS US TECHNOLOGY EQUITY FOF")</f>
        <v>EDELWEISS US TECHNOLOGY EQUITY FOF</v>
      </c>
      <c r="C47" s="408"/>
      <c r="D47" s="409" t="s">
        <v>2230</v>
      </c>
      <c r="E47" s="408"/>
    </row>
  </sheetData>
  <mergeCells count="2">
    <mergeCell ref="A1:B1"/>
    <mergeCell ref="A2:B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showGridLines="0" zoomScale="84" zoomScaleNormal="84" workbookViewId="0">
      <pane ySplit="4" topLeftCell="A53" activePane="bottomLeft" state="frozen"/>
      <selection activeCell="B30" sqref="B30"/>
      <selection pane="bottomLeft" activeCell="B79" sqref="B79:F79"/>
    </sheetView>
  </sheetViews>
  <sheetFormatPr defaultRowHeight="14.5" x14ac:dyDescent="0.35"/>
  <cols>
    <col min="1" max="1" width="50.453125" customWidth="1"/>
    <col min="2" max="2" width="25.7265625" customWidth="1"/>
    <col min="3" max="3" width="26.6328125" customWidth="1"/>
    <col min="4" max="4" width="22.81640625" customWidth="1"/>
    <col min="5" max="5" width="16.453125" customWidth="1"/>
    <col min="6" max="6" width="23.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7</v>
      </c>
      <c r="B1" s="151"/>
      <c r="C1" s="151"/>
      <c r="D1" s="151"/>
      <c r="E1" s="151"/>
      <c r="F1" s="151"/>
      <c r="G1" s="151"/>
      <c r="H1" s="50" t="str">
        <f>HYPERLINK("[EDEL_Portfolio Monthly Notes 31-Oct-2022.xlsx]Index!A1","Index")</f>
        <v>Index</v>
      </c>
    </row>
    <row r="2" spans="1:8" ht="31" customHeight="1" x14ac:dyDescent="0.35">
      <c r="A2" s="151" t="s">
        <v>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97</v>
      </c>
      <c r="B9" s="30"/>
      <c r="C9" s="30"/>
      <c r="D9" s="13"/>
      <c r="E9" s="14"/>
      <c r="F9" s="15"/>
      <c r="G9" s="15"/>
    </row>
    <row r="10" spans="1:8" x14ac:dyDescent="0.35">
      <c r="A10" s="12"/>
      <c r="B10" s="30"/>
      <c r="C10" s="30"/>
      <c r="D10" s="13"/>
      <c r="E10" s="14"/>
      <c r="F10" s="15"/>
      <c r="G10" s="15"/>
    </row>
    <row r="11" spans="1:8" x14ac:dyDescent="0.35">
      <c r="A11" s="16" t="s">
        <v>98</v>
      </c>
      <c r="B11" s="30"/>
      <c r="C11" s="30"/>
      <c r="D11" s="13"/>
      <c r="E11" s="14"/>
      <c r="F11" s="15"/>
      <c r="G11" s="15"/>
    </row>
    <row r="12" spans="1:8" x14ac:dyDescent="0.35">
      <c r="A12" s="12" t="s">
        <v>99</v>
      </c>
      <c r="B12" s="30" t="s">
        <v>100</v>
      </c>
      <c r="C12" s="30" t="s">
        <v>101</v>
      </c>
      <c r="D12" s="13">
        <v>2500000</v>
      </c>
      <c r="E12" s="14">
        <v>2383.1</v>
      </c>
      <c r="F12" s="15">
        <v>7.3200000000000001E-2</v>
      </c>
      <c r="G12" s="15">
        <v>6.8599999999999994E-2</v>
      </c>
    </row>
    <row r="13" spans="1:8" x14ac:dyDescent="0.35">
      <c r="A13" s="16" t="s">
        <v>102</v>
      </c>
      <c r="B13" s="31"/>
      <c r="C13" s="31"/>
      <c r="D13" s="17"/>
      <c r="E13" s="18">
        <v>2383.1</v>
      </c>
      <c r="F13" s="19">
        <v>7.3200000000000001E-2</v>
      </c>
      <c r="G13" s="20"/>
    </row>
    <row r="14" spans="1:8" x14ac:dyDescent="0.35">
      <c r="A14" s="16" t="s">
        <v>103</v>
      </c>
      <c r="B14" s="30"/>
      <c r="C14" s="30"/>
      <c r="D14" s="13"/>
      <c r="E14" s="14"/>
      <c r="F14" s="15"/>
      <c r="G14" s="15"/>
    </row>
    <row r="15" spans="1:8" x14ac:dyDescent="0.35">
      <c r="A15" s="12" t="s">
        <v>104</v>
      </c>
      <c r="B15" s="30" t="s">
        <v>105</v>
      </c>
      <c r="C15" s="30" t="s">
        <v>106</v>
      </c>
      <c r="D15" s="13">
        <v>2500000</v>
      </c>
      <c r="E15" s="14">
        <v>2399.04</v>
      </c>
      <c r="F15" s="15">
        <v>7.3700000000000002E-2</v>
      </c>
      <c r="G15" s="15">
        <v>7.3150000000000007E-2</v>
      </c>
    </row>
    <row r="16" spans="1:8" x14ac:dyDescent="0.35">
      <c r="A16" s="12" t="s">
        <v>107</v>
      </c>
      <c r="B16" s="30" t="s">
        <v>108</v>
      </c>
      <c r="C16" s="30" t="s">
        <v>106</v>
      </c>
      <c r="D16" s="13">
        <v>2500000</v>
      </c>
      <c r="E16" s="14">
        <v>2388.4</v>
      </c>
      <c r="F16" s="15">
        <v>7.3400000000000007E-2</v>
      </c>
      <c r="G16" s="15">
        <v>7.3200000000000001E-2</v>
      </c>
    </row>
    <row r="17" spans="1:7" x14ac:dyDescent="0.35">
      <c r="A17" s="12" t="s">
        <v>109</v>
      </c>
      <c r="B17" s="30" t="s">
        <v>110</v>
      </c>
      <c r="C17" s="30" t="s">
        <v>111</v>
      </c>
      <c r="D17" s="13">
        <v>2500000</v>
      </c>
      <c r="E17" s="14">
        <v>2360.48</v>
      </c>
      <c r="F17" s="15">
        <v>7.2499999999999995E-2</v>
      </c>
      <c r="G17" s="15">
        <v>7.4649999999999994E-2</v>
      </c>
    </row>
    <row r="18" spans="1:7" x14ac:dyDescent="0.35">
      <c r="A18" s="12" t="s">
        <v>112</v>
      </c>
      <c r="B18" s="30" t="s">
        <v>113</v>
      </c>
      <c r="C18" s="30" t="s">
        <v>106</v>
      </c>
      <c r="D18" s="13">
        <v>2500000</v>
      </c>
      <c r="E18" s="14">
        <v>2360.11</v>
      </c>
      <c r="F18" s="15">
        <v>7.2499999999999995E-2</v>
      </c>
      <c r="G18" s="15">
        <v>7.46E-2</v>
      </c>
    </row>
    <row r="19" spans="1:7" x14ac:dyDescent="0.35">
      <c r="A19" s="12" t="s">
        <v>114</v>
      </c>
      <c r="B19" s="30" t="s">
        <v>115</v>
      </c>
      <c r="C19" s="30" t="s">
        <v>106</v>
      </c>
      <c r="D19" s="13">
        <v>2500000</v>
      </c>
      <c r="E19" s="14">
        <v>2359.84</v>
      </c>
      <c r="F19" s="15">
        <v>7.2499999999999995E-2</v>
      </c>
      <c r="G19" s="15">
        <v>7.5015999999999999E-2</v>
      </c>
    </row>
    <row r="20" spans="1:7" x14ac:dyDescent="0.35">
      <c r="A20" s="12" t="s">
        <v>116</v>
      </c>
      <c r="B20" s="30" t="s">
        <v>117</v>
      </c>
      <c r="C20" s="30" t="s">
        <v>106</v>
      </c>
      <c r="D20" s="13">
        <v>2500000</v>
      </c>
      <c r="E20" s="14">
        <v>2353.52</v>
      </c>
      <c r="F20" s="15">
        <v>7.2300000000000003E-2</v>
      </c>
      <c r="G20" s="15">
        <v>7.6749999999999999E-2</v>
      </c>
    </row>
    <row r="21" spans="1:7" x14ac:dyDescent="0.35">
      <c r="A21" s="12" t="s">
        <v>118</v>
      </c>
      <c r="B21" s="30" t="s">
        <v>119</v>
      </c>
      <c r="C21" s="30" t="s">
        <v>111</v>
      </c>
      <c r="D21" s="13">
        <v>2500000</v>
      </c>
      <c r="E21" s="14">
        <v>2350.69</v>
      </c>
      <c r="F21" s="15">
        <v>7.22E-2</v>
      </c>
      <c r="G21" s="15">
        <v>7.3599999999999999E-2</v>
      </c>
    </row>
    <row r="22" spans="1:7" x14ac:dyDescent="0.35">
      <c r="A22" s="12" t="s">
        <v>120</v>
      </c>
      <c r="B22" s="30" t="s">
        <v>121</v>
      </c>
      <c r="C22" s="30" t="s">
        <v>106</v>
      </c>
      <c r="D22" s="13">
        <v>2500000</v>
      </c>
      <c r="E22" s="14">
        <v>2348.98</v>
      </c>
      <c r="F22" s="15">
        <v>7.22E-2</v>
      </c>
      <c r="G22" s="15">
        <v>7.5700000000000003E-2</v>
      </c>
    </row>
    <row r="23" spans="1:7" x14ac:dyDescent="0.35">
      <c r="A23" s="12" t="s">
        <v>122</v>
      </c>
      <c r="B23" s="30" t="s">
        <v>123</v>
      </c>
      <c r="C23" s="30" t="s">
        <v>124</v>
      </c>
      <c r="D23" s="13">
        <v>2500000</v>
      </c>
      <c r="E23" s="14">
        <v>2347.0700000000002</v>
      </c>
      <c r="F23" s="15">
        <v>7.2099999999999997E-2</v>
      </c>
      <c r="G23" s="15">
        <v>7.5499999999999998E-2</v>
      </c>
    </row>
    <row r="24" spans="1:7" x14ac:dyDescent="0.35">
      <c r="A24" s="16" t="s">
        <v>102</v>
      </c>
      <c r="B24" s="31"/>
      <c r="C24" s="31"/>
      <c r="D24" s="17"/>
      <c r="E24" s="18">
        <v>21268.13</v>
      </c>
      <c r="F24" s="19">
        <v>0.65339999999999998</v>
      </c>
      <c r="G24" s="20"/>
    </row>
    <row r="25" spans="1:7" x14ac:dyDescent="0.35">
      <c r="A25" s="12"/>
      <c r="B25" s="30"/>
      <c r="C25" s="30"/>
      <c r="D25" s="13"/>
      <c r="E25" s="14"/>
      <c r="F25" s="15"/>
      <c r="G25" s="15"/>
    </row>
    <row r="26" spans="1:7" x14ac:dyDescent="0.35">
      <c r="A26" s="16" t="s">
        <v>125</v>
      </c>
      <c r="B26" s="30"/>
      <c r="C26" s="30"/>
      <c r="D26" s="13"/>
      <c r="E26" s="14"/>
      <c r="F26" s="15"/>
      <c r="G26" s="15"/>
    </row>
    <row r="27" spans="1:7" x14ac:dyDescent="0.35">
      <c r="A27" s="12" t="s">
        <v>2106</v>
      </c>
      <c r="B27" s="30" t="s">
        <v>126</v>
      </c>
      <c r="C27" s="30" t="s">
        <v>106</v>
      </c>
      <c r="D27" s="13">
        <v>2500000</v>
      </c>
      <c r="E27" s="14">
        <v>2386.5700000000002</v>
      </c>
      <c r="F27" s="15">
        <v>7.3300000000000004E-2</v>
      </c>
      <c r="G27" s="15">
        <v>7.51E-2</v>
      </c>
    </row>
    <row r="28" spans="1:7" x14ac:dyDescent="0.35">
      <c r="A28" s="12" t="s">
        <v>2107</v>
      </c>
      <c r="B28" s="30" t="s">
        <v>127</v>
      </c>
      <c r="C28" s="30" t="s">
        <v>106</v>
      </c>
      <c r="D28" s="13">
        <v>2500000</v>
      </c>
      <c r="E28" s="14">
        <v>2368.48</v>
      </c>
      <c r="F28" s="15">
        <v>7.2800000000000004E-2</v>
      </c>
      <c r="G28" s="15">
        <v>7.6199000000000003E-2</v>
      </c>
    </row>
    <row r="29" spans="1:7" x14ac:dyDescent="0.35">
      <c r="A29" s="12" t="s">
        <v>2108</v>
      </c>
      <c r="B29" s="30" t="s">
        <v>128</v>
      </c>
      <c r="C29" s="30" t="s">
        <v>106</v>
      </c>
      <c r="D29" s="13">
        <v>2500000</v>
      </c>
      <c r="E29" s="14">
        <v>2336.4699999999998</v>
      </c>
      <c r="F29" s="15">
        <v>7.1800000000000003E-2</v>
      </c>
      <c r="G29" s="15">
        <v>7.6950000000000005E-2</v>
      </c>
    </row>
    <row r="30" spans="1:7" x14ac:dyDescent="0.35">
      <c r="A30" s="16" t="s">
        <v>102</v>
      </c>
      <c r="B30" s="31"/>
      <c r="C30" s="31"/>
      <c r="D30" s="17"/>
      <c r="E30" s="18">
        <v>7091.52</v>
      </c>
      <c r="F30" s="19">
        <v>0.21790000000000001</v>
      </c>
      <c r="G30" s="20"/>
    </row>
    <row r="31" spans="1:7" x14ac:dyDescent="0.35">
      <c r="A31" s="12"/>
      <c r="B31" s="30"/>
      <c r="C31" s="30"/>
      <c r="D31" s="13"/>
      <c r="E31" s="14"/>
      <c r="F31" s="15"/>
      <c r="G31" s="15"/>
    </row>
    <row r="32" spans="1:7" x14ac:dyDescent="0.35">
      <c r="A32" s="21" t="s">
        <v>129</v>
      </c>
      <c r="B32" s="32"/>
      <c r="C32" s="32"/>
      <c r="D32" s="22"/>
      <c r="E32" s="18">
        <v>30742.75</v>
      </c>
      <c r="F32" s="19">
        <v>0.94450000000000001</v>
      </c>
      <c r="G32" s="20"/>
    </row>
    <row r="33" spans="1:7" x14ac:dyDescent="0.35">
      <c r="A33" s="12"/>
      <c r="B33" s="30"/>
      <c r="C33" s="30"/>
      <c r="D33" s="13"/>
      <c r="E33" s="14"/>
      <c r="F33" s="15"/>
      <c r="G33" s="15"/>
    </row>
    <row r="34" spans="1:7" x14ac:dyDescent="0.35">
      <c r="A34" s="12"/>
      <c r="B34" s="30"/>
      <c r="C34" s="30"/>
      <c r="D34" s="13"/>
      <c r="E34" s="14"/>
      <c r="F34" s="15"/>
      <c r="G34" s="15"/>
    </row>
    <row r="35" spans="1:7" x14ac:dyDescent="0.35">
      <c r="A35" s="16" t="s">
        <v>130</v>
      </c>
      <c r="B35" s="30"/>
      <c r="C35" s="30"/>
      <c r="D35" s="13"/>
      <c r="E35" s="14"/>
      <c r="F35" s="15"/>
      <c r="G35" s="15"/>
    </row>
    <row r="36" spans="1:7" x14ac:dyDescent="0.35">
      <c r="A36" s="12" t="s">
        <v>131</v>
      </c>
      <c r="B36" s="30"/>
      <c r="C36" s="30"/>
      <c r="D36" s="13"/>
      <c r="E36" s="14">
        <v>1926.68</v>
      </c>
      <c r="F36" s="15">
        <v>5.9200000000000003E-2</v>
      </c>
      <c r="G36" s="51">
        <v>6.1074000000000003E-2</v>
      </c>
    </row>
    <row r="37" spans="1:7" x14ac:dyDescent="0.35">
      <c r="A37" s="16" t="s">
        <v>102</v>
      </c>
      <c r="B37" s="31"/>
      <c r="C37" s="31"/>
      <c r="D37" s="17"/>
      <c r="E37" s="18">
        <v>1926.68</v>
      </c>
      <c r="F37" s="19">
        <v>5.9200000000000003E-2</v>
      </c>
      <c r="G37" s="52"/>
    </row>
    <row r="38" spans="1:7" x14ac:dyDescent="0.35">
      <c r="A38" s="12"/>
      <c r="B38" s="30"/>
      <c r="C38" s="30"/>
      <c r="D38" s="13"/>
      <c r="E38" s="14"/>
      <c r="F38" s="15"/>
      <c r="G38" s="51"/>
    </row>
    <row r="39" spans="1:7" x14ac:dyDescent="0.35">
      <c r="A39" s="21" t="s">
        <v>129</v>
      </c>
      <c r="B39" s="32"/>
      <c r="C39" s="32"/>
      <c r="D39" s="22"/>
      <c r="E39" s="18">
        <v>1926.68</v>
      </c>
      <c r="F39" s="19">
        <v>5.9200000000000003E-2</v>
      </c>
      <c r="G39" s="52"/>
    </row>
    <row r="40" spans="1:7" x14ac:dyDescent="0.35">
      <c r="A40" s="12" t="s">
        <v>132</v>
      </c>
      <c r="B40" s="30"/>
      <c r="C40" s="30"/>
      <c r="D40" s="13"/>
      <c r="E40" s="14">
        <v>0.32238329999999998</v>
      </c>
      <c r="F40" s="15">
        <v>9.0000000000000002E-6</v>
      </c>
      <c r="G40" s="51"/>
    </row>
    <row r="41" spans="1:7" x14ac:dyDescent="0.35">
      <c r="A41" s="12" t="s">
        <v>133</v>
      </c>
      <c r="B41" s="30"/>
      <c r="C41" s="30"/>
      <c r="D41" s="13"/>
      <c r="E41" s="23">
        <v>-114.5423833</v>
      </c>
      <c r="F41" s="24">
        <v>-3.7090000000000001E-3</v>
      </c>
      <c r="G41" s="51">
        <v>6.1074000000000003E-2</v>
      </c>
    </row>
    <row r="42" spans="1:7" x14ac:dyDescent="0.35">
      <c r="A42" s="25" t="s">
        <v>134</v>
      </c>
      <c r="B42" s="33"/>
      <c r="C42" s="33"/>
      <c r="D42" s="26"/>
      <c r="E42" s="27">
        <v>32555.21</v>
      </c>
      <c r="F42" s="28">
        <v>1</v>
      </c>
      <c r="G42" s="28"/>
    </row>
    <row r="44" spans="1:7" x14ac:dyDescent="0.35">
      <c r="A44" s="1" t="s">
        <v>135</v>
      </c>
    </row>
    <row r="45" spans="1:7" x14ac:dyDescent="0.35">
      <c r="A45" s="1" t="s">
        <v>136</v>
      </c>
    </row>
    <row r="47" spans="1:7" x14ac:dyDescent="0.35">
      <c r="A47" s="1" t="s">
        <v>1981</v>
      </c>
    </row>
    <row r="48" spans="1:7" x14ac:dyDescent="0.35">
      <c r="A48" s="47" t="s">
        <v>1982</v>
      </c>
      <c r="B48" s="34" t="s">
        <v>96</v>
      </c>
    </row>
    <row r="49" spans="1:7" x14ac:dyDescent="0.35">
      <c r="A49" t="s">
        <v>1983</v>
      </c>
    </row>
    <row r="50" spans="1:7" x14ac:dyDescent="0.35">
      <c r="A50" t="s">
        <v>1984</v>
      </c>
      <c r="B50" t="s">
        <v>1985</v>
      </c>
      <c r="C50" t="s">
        <v>1985</v>
      </c>
    </row>
    <row r="51" spans="1:7" x14ac:dyDescent="0.35">
      <c r="B51" s="48">
        <v>44834</v>
      </c>
      <c r="C51" s="48">
        <v>44865</v>
      </c>
    </row>
    <row r="52" spans="1:7" x14ac:dyDescent="0.35">
      <c r="A52" t="s">
        <v>1986</v>
      </c>
      <c r="B52">
        <v>25.7044</v>
      </c>
      <c r="C52">
        <v>25.784800000000001</v>
      </c>
      <c r="E52" s="2"/>
      <c r="G52"/>
    </row>
    <row r="53" spans="1:7" x14ac:dyDescent="0.35">
      <c r="A53" t="s">
        <v>1987</v>
      </c>
      <c r="B53" t="s">
        <v>1988</v>
      </c>
      <c r="C53" t="s">
        <v>1988</v>
      </c>
      <c r="E53" s="2"/>
      <c r="G53"/>
    </row>
    <row r="54" spans="1:7" x14ac:dyDescent="0.35">
      <c r="A54" t="s">
        <v>1989</v>
      </c>
      <c r="B54">
        <v>25.7074</v>
      </c>
      <c r="C54">
        <v>25.788</v>
      </c>
      <c r="E54" s="2"/>
      <c r="G54"/>
    </row>
    <row r="55" spans="1:7" x14ac:dyDescent="0.35">
      <c r="A55" t="s">
        <v>1990</v>
      </c>
      <c r="B55">
        <v>23.973099999999999</v>
      </c>
      <c r="C55">
        <v>24.048200000000001</v>
      </c>
      <c r="E55" s="2"/>
      <c r="G55"/>
    </row>
    <row r="56" spans="1:7" x14ac:dyDescent="0.35">
      <c r="A56" t="s">
        <v>1991</v>
      </c>
      <c r="B56" t="s">
        <v>1988</v>
      </c>
      <c r="C56" t="s">
        <v>1988</v>
      </c>
      <c r="E56" s="2"/>
      <c r="G56"/>
    </row>
    <row r="57" spans="1:7" x14ac:dyDescent="0.35">
      <c r="A57" t="s">
        <v>1992</v>
      </c>
      <c r="B57">
        <v>20.339600000000001</v>
      </c>
      <c r="C57">
        <v>20.390599999999999</v>
      </c>
      <c r="E57" s="2"/>
      <c r="G57"/>
    </row>
    <row r="58" spans="1:7" x14ac:dyDescent="0.35">
      <c r="A58" t="s">
        <v>1993</v>
      </c>
      <c r="B58" t="s">
        <v>1988</v>
      </c>
      <c r="C58" t="s">
        <v>1988</v>
      </c>
      <c r="E58" s="2"/>
      <c r="G58"/>
    </row>
    <row r="59" spans="1:7" x14ac:dyDescent="0.35">
      <c r="A59" t="s">
        <v>1994</v>
      </c>
      <c r="B59">
        <v>23.568100000000001</v>
      </c>
      <c r="C59">
        <v>23.627400000000002</v>
      </c>
      <c r="E59" s="2"/>
      <c r="G59"/>
    </row>
    <row r="60" spans="1:7" x14ac:dyDescent="0.35">
      <c r="A60" t="s">
        <v>1995</v>
      </c>
      <c r="B60" t="s">
        <v>1988</v>
      </c>
      <c r="C60" t="s">
        <v>1988</v>
      </c>
      <c r="E60" s="2"/>
      <c r="G60"/>
    </row>
    <row r="61" spans="1:7" x14ac:dyDescent="0.35">
      <c r="A61" t="s">
        <v>1996</v>
      </c>
      <c r="B61">
        <v>23.766100000000002</v>
      </c>
      <c r="C61">
        <v>23.825700000000001</v>
      </c>
      <c r="E61" s="2"/>
      <c r="G61"/>
    </row>
    <row r="62" spans="1:7" x14ac:dyDescent="0.35">
      <c r="A62" t="s">
        <v>1997</v>
      </c>
      <c r="B62">
        <v>22.3551</v>
      </c>
      <c r="C62">
        <v>22.411200000000001</v>
      </c>
      <c r="E62" s="2"/>
      <c r="G62"/>
    </row>
    <row r="63" spans="1:7" x14ac:dyDescent="0.35">
      <c r="A63" t="s">
        <v>1998</v>
      </c>
      <c r="B63" t="s">
        <v>1988</v>
      </c>
      <c r="C63" t="s">
        <v>1988</v>
      </c>
      <c r="E63" s="2"/>
      <c r="G63"/>
    </row>
    <row r="64" spans="1:7" x14ac:dyDescent="0.35">
      <c r="A64" t="s">
        <v>1999</v>
      </c>
      <c r="E64" s="2"/>
      <c r="G64"/>
    </row>
    <row r="66" spans="1:6" x14ac:dyDescent="0.35">
      <c r="A66" t="s">
        <v>2000</v>
      </c>
      <c r="B66" s="34" t="s">
        <v>96</v>
      </c>
    </row>
    <row r="67" spans="1:6" x14ac:dyDescent="0.35">
      <c r="A67" t="s">
        <v>2001</v>
      </c>
      <c r="B67" s="34" t="s">
        <v>96</v>
      </c>
    </row>
    <row r="68" spans="1:6" ht="29" x14ac:dyDescent="0.35">
      <c r="A68" s="47" t="s">
        <v>2002</v>
      </c>
      <c r="B68" s="34" t="s">
        <v>96</v>
      </c>
    </row>
    <row r="69" spans="1:6" ht="29" x14ac:dyDescent="0.35">
      <c r="A69" s="47" t="s">
        <v>2003</v>
      </c>
      <c r="B69" s="34" t="s">
        <v>96</v>
      </c>
    </row>
    <row r="70" spans="1:6" x14ac:dyDescent="0.35">
      <c r="A70" t="s">
        <v>2004</v>
      </c>
      <c r="B70" s="49">
        <v>0.72311499999999995</v>
      </c>
    </row>
    <row r="71" spans="1:6" ht="43.5" x14ac:dyDescent="0.35">
      <c r="A71" s="47" t="s">
        <v>2005</v>
      </c>
      <c r="B71" s="34" t="s">
        <v>96</v>
      </c>
    </row>
    <row r="72" spans="1:6" ht="29" x14ac:dyDescent="0.35">
      <c r="A72" s="47" t="s">
        <v>2006</v>
      </c>
      <c r="B72" s="34" t="s">
        <v>96</v>
      </c>
    </row>
    <row r="73" spans="1:6" ht="29" x14ac:dyDescent="0.35">
      <c r="A73" s="47" t="s">
        <v>2009</v>
      </c>
      <c r="B73" s="34" t="s">
        <v>96</v>
      </c>
    </row>
    <row r="74" spans="1:6" ht="29" x14ac:dyDescent="0.35">
      <c r="A74" s="47" t="s">
        <v>2135</v>
      </c>
      <c r="B74" s="34" t="s">
        <v>96</v>
      </c>
    </row>
    <row r="75" spans="1:6" ht="29" x14ac:dyDescent="0.35">
      <c r="A75" s="47" t="s">
        <v>2136</v>
      </c>
      <c r="B75" s="34" t="s">
        <v>96</v>
      </c>
    </row>
    <row r="78" spans="1:6" ht="29" x14ac:dyDescent="0.35">
      <c r="A78" s="153" t="s">
        <v>2154</v>
      </c>
      <c r="B78" s="154" t="s">
        <v>2155</v>
      </c>
      <c r="C78" s="154" t="s">
        <v>2156</v>
      </c>
      <c r="D78" s="159" t="s">
        <v>2157</v>
      </c>
      <c r="E78" s="159" t="s">
        <v>2156</v>
      </c>
      <c r="F78" s="159" t="s">
        <v>2157</v>
      </c>
    </row>
    <row r="79" spans="1:6" ht="111" customHeight="1" x14ac:dyDescent="0.35">
      <c r="A79" s="158" t="s">
        <v>2158</v>
      </c>
      <c r="B79" s="155"/>
      <c r="C79" s="156" t="s">
        <v>2159</v>
      </c>
      <c r="D79" s="157"/>
      <c r="E79" s="156" t="s">
        <v>2160</v>
      </c>
      <c r="F79" s="157"/>
    </row>
  </sheetData>
  <mergeCells count="2">
    <mergeCell ref="A1:G1"/>
    <mergeCell ref="A2:G2"/>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69797-75ED-4256-B13B-AA7A15C282D8}">
  <dimension ref="A1:H88"/>
  <sheetViews>
    <sheetView showGridLines="0" workbookViewId="0">
      <pane ySplit="4" topLeftCell="A88" activePane="bottomLeft" state="frozen"/>
      <selection activeCell="A2" sqref="A2:XFD2"/>
      <selection pane="bottomLeft" activeCell="B88" sqref="B88:D88"/>
    </sheetView>
  </sheetViews>
  <sheetFormatPr defaultRowHeight="14.5" x14ac:dyDescent="0.35"/>
  <cols>
    <col min="1" max="1" width="50.453125" customWidth="1"/>
    <col min="2" max="2" width="23.26953125" customWidth="1"/>
    <col min="3" max="3" width="26.6328125" customWidth="1"/>
    <col min="4" max="4" width="22.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9</v>
      </c>
      <c r="B1" s="151"/>
      <c r="C1" s="151"/>
      <c r="D1" s="151"/>
      <c r="E1" s="151"/>
      <c r="F1" s="151"/>
      <c r="G1" s="151"/>
      <c r="H1" s="50" t="str">
        <f>HYPERLINK("[EDEL_Portfolio Monthly Notes 31-Oct-2022.xlsx]Index!A1","Index")</f>
        <v>Index</v>
      </c>
    </row>
    <row r="2" spans="1:8" ht="31" customHeight="1" x14ac:dyDescent="0.35">
      <c r="A2" s="151" t="s">
        <v>10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139</v>
      </c>
      <c r="B11" s="30" t="s">
        <v>140</v>
      </c>
      <c r="C11" s="30" t="s">
        <v>141</v>
      </c>
      <c r="D11" s="13">
        <v>100500000</v>
      </c>
      <c r="E11" s="14">
        <v>100177.60000000001</v>
      </c>
      <c r="F11" s="15">
        <v>0.14749999999999999</v>
      </c>
      <c r="G11" s="15">
        <v>7.3050000000000004E-2</v>
      </c>
    </row>
    <row r="12" spans="1:8" x14ac:dyDescent="0.35">
      <c r="A12" s="12" t="s">
        <v>142</v>
      </c>
      <c r="B12" s="30" t="s">
        <v>143</v>
      </c>
      <c r="C12" s="30" t="s">
        <v>141</v>
      </c>
      <c r="D12" s="13">
        <v>77000000</v>
      </c>
      <c r="E12" s="14">
        <v>76726.73</v>
      </c>
      <c r="F12" s="15">
        <v>0.1129</v>
      </c>
      <c r="G12" s="15">
        <v>7.2800000000000004E-2</v>
      </c>
    </row>
    <row r="13" spans="1:8" x14ac:dyDescent="0.35">
      <c r="A13" s="12" t="s">
        <v>144</v>
      </c>
      <c r="B13" s="30" t="s">
        <v>145</v>
      </c>
      <c r="C13" s="30" t="s">
        <v>141</v>
      </c>
      <c r="D13" s="13">
        <v>70000000</v>
      </c>
      <c r="E13" s="14">
        <v>69915.37</v>
      </c>
      <c r="F13" s="15">
        <v>0.10290000000000001</v>
      </c>
      <c r="G13" s="15">
        <v>7.3450000000000001E-2</v>
      </c>
    </row>
    <row r="14" spans="1:8" x14ac:dyDescent="0.35">
      <c r="A14" s="12" t="s">
        <v>146</v>
      </c>
      <c r="B14" s="30" t="s">
        <v>147</v>
      </c>
      <c r="C14" s="30" t="s">
        <v>148</v>
      </c>
      <c r="D14" s="13">
        <v>68000000</v>
      </c>
      <c r="E14" s="14">
        <v>67857.47</v>
      </c>
      <c r="F14" s="15">
        <v>9.9900000000000003E-2</v>
      </c>
      <c r="G14" s="15">
        <v>7.2849999999999998E-2</v>
      </c>
    </row>
    <row r="15" spans="1:8" x14ac:dyDescent="0.35">
      <c r="A15" s="12" t="s">
        <v>149</v>
      </c>
      <c r="B15" s="30" t="s">
        <v>150</v>
      </c>
      <c r="C15" s="30" t="s">
        <v>148</v>
      </c>
      <c r="D15" s="13">
        <v>64300000</v>
      </c>
      <c r="E15" s="14">
        <v>64065.05</v>
      </c>
      <c r="F15" s="15">
        <v>9.4299999999999995E-2</v>
      </c>
      <c r="G15" s="15">
        <v>7.2900999999999994E-2</v>
      </c>
    </row>
    <row r="16" spans="1:8" x14ac:dyDescent="0.35">
      <c r="A16" s="12" t="s">
        <v>151</v>
      </c>
      <c r="B16" s="30" t="s">
        <v>152</v>
      </c>
      <c r="C16" s="30" t="s">
        <v>141</v>
      </c>
      <c r="D16" s="13">
        <v>44000000</v>
      </c>
      <c r="E16" s="14">
        <v>43935.67</v>
      </c>
      <c r="F16" s="15">
        <v>6.4699999999999994E-2</v>
      </c>
      <c r="G16" s="15">
        <v>7.1849999999999997E-2</v>
      </c>
    </row>
    <row r="17" spans="1:7" x14ac:dyDescent="0.35">
      <c r="A17" s="12" t="s">
        <v>153</v>
      </c>
      <c r="B17" s="30" t="s">
        <v>154</v>
      </c>
      <c r="C17" s="30" t="s">
        <v>141</v>
      </c>
      <c r="D17" s="13">
        <v>36500000</v>
      </c>
      <c r="E17" s="14">
        <v>36364.480000000003</v>
      </c>
      <c r="F17" s="15">
        <v>5.3499999999999999E-2</v>
      </c>
      <c r="G17" s="15">
        <v>7.2450000000000001E-2</v>
      </c>
    </row>
    <row r="18" spans="1:7" x14ac:dyDescent="0.35">
      <c r="A18" s="12" t="s">
        <v>155</v>
      </c>
      <c r="B18" s="30" t="s">
        <v>156</v>
      </c>
      <c r="C18" s="30" t="s">
        <v>157</v>
      </c>
      <c r="D18" s="13">
        <v>33000000</v>
      </c>
      <c r="E18" s="14">
        <v>33158.1</v>
      </c>
      <c r="F18" s="15">
        <v>4.8800000000000003E-2</v>
      </c>
      <c r="G18" s="15">
        <v>7.3451000000000002E-2</v>
      </c>
    </row>
    <row r="19" spans="1:7" x14ac:dyDescent="0.35">
      <c r="A19" s="12" t="s">
        <v>158</v>
      </c>
      <c r="B19" s="30" t="s">
        <v>159</v>
      </c>
      <c r="C19" s="30" t="s">
        <v>141</v>
      </c>
      <c r="D19" s="13">
        <v>26000000</v>
      </c>
      <c r="E19" s="14">
        <v>25915.24</v>
      </c>
      <c r="F19" s="15">
        <v>3.8100000000000002E-2</v>
      </c>
      <c r="G19" s="15">
        <v>7.4149999999999994E-2</v>
      </c>
    </row>
    <row r="20" spans="1:7" x14ac:dyDescent="0.35">
      <c r="A20" s="12" t="s">
        <v>160</v>
      </c>
      <c r="B20" s="30" t="s">
        <v>161</v>
      </c>
      <c r="C20" s="30" t="s">
        <v>141</v>
      </c>
      <c r="D20" s="13">
        <v>22500000</v>
      </c>
      <c r="E20" s="14">
        <v>22600.71</v>
      </c>
      <c r="F20" s="15">
        <v>3.3300000000000003E-2</v>
      </c>
      <c r="G20" s="15">
        <v>7.1299000000000001E-2</v>
      </c>
    </row>
    <row r="21" spans="1:7" x14ac:dyDescent="0.35">
      <c r="A21" s="12" t="s">
        <v>162</v>
      </c>
      <c r="B21" s="30" t="s">
        <v>163</v>
      </c>
      <c r="C21" s="30" t="s">
        <v>141</v>
      </c>
      <c r="D21" s="13">
        <v>18000000</v>
      </c>
      <c r="E21" s="14">
        <v>18045.669999999998</v>
      </c>
      <c r="F21" s="15">
        <v>2.6599999999999999E-2</v>
      </c>
      <c r="G21" s="15">
        <v>7.0168999999999995E-2</v>
      </c>
    </row>
    <row r="22" spans="1:7" x14ac:dyDescent="0.35">
      <c r="A22" s="12" t="s">
        <v>164</v>
      </c>
      <c r="B22" s="30" t="s">
        <v>165</v>
      </c>
      <c r="C22" s="30" t="s">
        <v>141</v>
      </c>
      <c r="D22" s="13">
        <v>10000000</v>
      </c>
      <c r="E22" s="14">
        <v>9965.08</v>
      </c>
      <c r="F22" s="15">
        <v>1.47E-2</v>
      </c>
      <c r="G22" s="15">
        <v>7.1849999999999997E-2</v>
      </c>
    </row>
    <row r="23" spans="1:7" x14ac:dyDescent="0.35">
      <c r="A23" s="12" t="s">
        <v>166</v>
      </c>
      <c r="B23" s="30" t="s">
        <v>167</v>
      </c>
      <c r="C23" s="30" t="s">
        <v>157</v>
      </c>
      <c r="D23" s="13">
        <v>8000000</v>
      </c>
      <c r="E23" s="14">
        <v>8039.55</v>
      </c>
      <c r="F23" s="15">
        <v>1.18E-2</v>
      </c>
      <c r="G23" s="15">
        <v>7.2250999999999996E-2</v>
      </c>
    </row>
    <row r="24" spans="1:7" x14ac:dyDescent="0.35">
      <c r="A24" s="12" t="s">
        <v>168</v>
      </c>
      <c r="B24" s="30" t="s">
        <v>169</v>
      </c>
      <c r="C24" s="30" t="s">
        <v>157</v>
      </c>
      <c r="D24" s="13">
        <v>7500000</v>
      </c>
      <c r="E24" s="14">
        <v>7536.65</v>
      </c>
      <c r="F24" s="15">
        <v>1.11E-2</v>
      </c>
      <c r="G24" s="15">
        <v>7.2100999999999998E-2</v>
      </c>
    </row>
    <row r="25" spans="1:7" x14ac:dyDescent="0.35">
      <c r="A25" s="12" t="s">
        <v>170</v>
      </c>
      <c r="B25" s="30" t="s">
        <v>171</v>
      </c>
      <c r="C25" s="30" t="s">
        <v>148</v>
      </c>
      <c r="D25" s="13">
        <v>7500000</v>
      </c>
      <c r="E25" s="14">
        <v>7474.67</v>
      </c>
      <c r="F25" s="15">
        <v>1.0999999999999999E-2</v>
      </c>
      <c r="G25" s="15">
        <v>7.0400000000000004E-2</v>
      </c>
    </row>
    <row r="26" spans="1:7" x14ac:dyDescent="0.35">
      <c r="A26" s="12" t="s">
        <v>172</v>
      </c>
      <c r="B26" s="30" t="s">
        <v>173</v>
      </c>
      <c r="C26" s="30" t="s">
        <v>141</v>
      </c>
      <c r="D26" s="13">
        <v>6000000</v>
      </c>
      <c r="E26" s="14">
        <v>6028.89</v>
      </c>
      <c r="F26" s="15">
        <v>8.8999999999999999E-3</v>
      </c>
      <c r="G26" s="15">
        <v>7.2099999999999997E-2</v>
      </c>
    </row>
    <row r="27" spans="1:7" x14ac:dyDescent="0.35">
      <c r="A27" s="12" t="s">
        <v>174</v>
      </c>
      <c r="B27" s="30" t="s">
        <v>175</v>
      </c>
      <c r="C27" s="30" t="s">
        <v>141</v>
      </c>
      <c r="D27" s="13">
        <v>4500000</v>
      </c>
      <c r="E27" s="14">
        <v>4498.4399999999996</v>
      </c>
      <c r="F27" s="15">
        <v>6.6E-3</v>
      </c>
      <c r="G27" s="15">
        <v>6.6901000000000002E-2</v>
      </c>
    </row>
    <row r="28" spans="1:7" x14ac:dyDescent="0.35">
      <c r="A28" s="12" t="s">
        <v>176</v>
      </c>
      <c r="B28" s="30" t="s">
        <v>177</v>
      </c>
      <c r="C28" s="30" t="s">
        <v>157</v>
      </c>
      <c r="D28" s="13">
        <v>4000000</v>
      </c>
      <c r="E28" s="14">
        <v>4020.46</v>
      </c>
      <c r="F28" s="15">
        <v>5.8999999999999999E-3</v>
      </c>
      <c r="G28" s="15">
        <v>7.3435E-2</v>
      </c>
    </row>
    <row r="29" spans="1:7" x14ac:dyDescent="0.35">
      <c r="A29" s="12" t="s">
        <v>178</v>
      </c>
      <c r="B29" s="30" t="s">
        <v>179</v>
      </c>
      <c r="C29" s="30" t="s">
        <v>141</v>
      </c>
      <c r="D29" s="13">
        <v>4000000</v>
      </c>
      <c r="E29" s="14">
        <v>4017.68</v>
      </c>
      <c r="F29" s="15">
        <v>5.8999999999999999E-3</v>
      </c>
      <c r="G29" s="15">
        <v>7.1651000000000006E-2</v>
      </c>
    </row>
    <row r="30" spans="1:7" x14ac:dyDescent="0.35">
      <c r="A30" s="12" t="s">
        <v>180</v>
      </c>
      <c r="B30" s="30" t="s">
        <v>181</v>
      </c>
      <c r="C30" s="30" t="s">
        <v>141</v>
      </c>
      <c r="D30" s="13">
        <v>2000000</v>
      </c>
      <c r="E30" s="14">
        <v>2003.96</v>
      </c>
      <c r="F30" s="15">
        <v>2.8999999999999998E-3</v>
      </c>
      <c r="G30" s="15">
        <v>6.6302E-2</v>
      </c>
    </row>
    <row r="31" spans="1:7" x14ac:dyDescent="0.35">
      <c r="A31" s="12" t="s">
        <v>182</v>
      </c>
      <c r="B31" s="30" t="s">
        <v>183</v>
      </c>
      <c r="C31" s="30" t="s">
        <v>141</v>
      </c>
      <c r="D31" s="13">
        <v>1000000</v>
      </c>
      <c r="E31" s="14">
        <v>1005.46</v>
      </c>
      <c r="F31" s="15">
        <v>1.5E-3</v>
      </c>
      <c r="G31" s="15">
        <v>7.0650000000000004E-2</v>
      </c>
    </row>
    <row r="32" spans="1:7" x14ac:dyDescent="0.35">
      <c r="A32" s="12" t="s">
        <v>184</v>
      </c>
      <c r="B32" s="30" t="s">
        <v>185</v>
      </c>
      <c r="C32" s="30" t="s">
        <v>141</v>
      </c>
      <c r="D32" s="13">
        <v>1000000</v>
      </c>
      <c r="E32" s="14">
        <v>1004.15</v>
      </c>
      <c r="F32" s="15">
        <v>1.5E-3</v>
      </c>
      <c r="G32" s="15">
        <v>7.1599999999999997E-2</v>
      </c>
    </row>
    <row r="33" spans="1:7" x14ac:dyDescent="0.35">
      <c r="A33" s="12" t="s">
        <v>186</v>
      </c>
      <c r="B33" s="30" t="s">
        <v>187</v>
      </c>
      <c r="C33" s="30" t="s">
        <v>141</v>
      </c>
      <c r="D33" s="13">
        <v>1000000</v>
      </c>
      <c r="E33" s="14">
        <v>1004.09</v>
      </c>
      <c r="F33" s="15">
        <v>1.5E-3</v>
      </c>
      <c r="G33" s="15">
        <v>7.1099999999999997E-2</v>
      </c>
    </row>
    <row r="34" spans="1:7" x14ac:dyDescent="0.35">
      <c r="A34" s="12" t="s">
        <v>188</v>
      </c>
      <c r="B34" s="30" t="s">
        <v>189</v>
      </c>
      <c r="C34" s="30" t="s">
        <v>141</v>
      </c>
      <c r="D34" s="13">
        <v>1000000</v>
      </c>
      <c r="E34" s="14">
        <v>1003.48</v>
      </c>
      <c r="F34" s="15">
        <v>1.5E-3</v>
      </c>
      <c r="G34" s="15">
        <v>7.0848999999999995E-2</v>
      </c>
    </row>
    <row r="35" spans="1:7" x14ac:dyDescent="0.35">
      <c r="A35" s="12" t="s">
        <v>190</v>
      </c>
      <c r="B35" s="30" t="s">
        <v>191</v>
      </c>
      <c r="C35" s="30" t="s">
        <v>141</v>
      </c>
      <c r="D35" s="13">
        <v>500000</v>
      </c>
      <c r="E35" s="14">
        <v>502.45</v>
      </c>
      <c r="F35" s="15">
        <v>6.9999999999999999E-4</v>
      </c>
      <c r="G35" s="15">
        <v>7.1599999999999997E-2</v>
      </c>
    </row>
    <row r="36" spans="1:7" x14ac:dyDescent="0.35">
      <c r="A36" s="16" t="s">
        <v>102</v>
      </c>
      <c r="B36" s="31"/>
      <c r="C36" s="31"/>
      <c r="D36" s="17"/>
      <c r="E36" s="18">
        <v>616867.1</v>
      </c>
      <c r="F36" s="19">
        <v>0.90800000000000003</v>
      </c>
      <c r="G36" s="20"/>
    </row>
    <row r="37" spans="1:7" x14ac:dyDescent="0.35">
      <c r="A37" s="12"/>
      <c r="B37" s="30"/>
      <c r="C37" s="30"/>
      <c r="D37" s="13"/>
      <c r="E37" s="14"/>
      <c r="F37" s="15"/>
      <c r="G37" s="15"/>
    </row>
    <row r="38" spans="1:7" x14ac:dyDescent="0.35">
      <c r="A38" s="16" t="s">
        <v>192</v>
      </c>
      <c r="B38" s="30"/>
      <c r="C38" s="30"/>
      <c r="D38" s="13"/>
      <c r="E38" s="14"/>
      <c r="F38" s="15"/>
      <c r="G38" s="15"/>
    </row>
    <row r="39" spans="1:7" x14ac:dyDescent="0.35">
      <c r="A39" s="16" t="s">
        <v>102</v>
      </c>
      <c r="B39" s="30"/>
      <c r="C39" s="30"/>
      <c r="D39" s="13"/>
      <c r="E39" s="35" t="s">
        <v>96</v>
      </c>
      <c r="F39" s="36" t="s">
        <v>96</v>
      </c>
      <c r="G39" s="15"/>
    </row>
    <row r="40" spans="1:7" x14ac:dyDescent="0.35">
      <c r="A40" s="12"/>
      <c r="B40" s="30"/>
      <c r="C40" s="30"/>
      <c r="D40" s="13"/>
      <c r="E40" s="14"/>
      <c r="F40" s="15"/>
      <c r="G40" s="15"/>
    </row>
    <row r="41" spans="1:7" x14ac:dyDescent="0.35">
      <c r="A41" s="16" t="s">
        <v>193</v>
      </c>
      <c r="B41" s="30"/>
      <c r="C41" s="30"/>
      <c r="D41" s="13"/>
      <c r="E41" s="14"/>
      <c r="F41" s="15"/>
      <c r="G41" s="15"/>
    </row>
    <row r="42" spans="1:7" x14ac:dyDescent="0.35">
      <c r="A42" s="16" t="s">
        <v>102</v>
      </c>
      <c r="B42" s="30"/>
      <c r="C42" s="30"/>
      <c r="D42" s="13"/>
      <c r="E42" s="35" t="s">
        <v>96</v>
      </c>
      <c r="F42" s="36" t="s">
        <v>96</v>
      </c>
      <c r="G42" s="15"/>
    </row>
    <row r="43" spans="1:7" x14ac:dyDescent="0.35">
      <c r="A43" s="12"/>
      <c r="B43" s="30"/>
      <c r="C43" s="30"/>
      <c r="D43" s="13"/>
      <c r="E43" s="14"/>
      <c r="F43" s="15"/>
      <c r="G43" s="15"/>
    </row>
    <row r="44" spans="1:7" x14ac:dyDescent="0.35">
      <c r="A44" s="21" t="s">
        <v>129</v>
      </c>
      <c r="B44" s="32"/>
      <c r="C44" s="32"/>
      <c r="D44" s="22"/>
      <c r="E44" s="18">
        <v>616867.1</v>
      </c>
      <c r="F44" s="19">
        <v>0.90800000000000003</v>
      </c>
      <c r="G44" s="20"/>
    </row>
    <row r="45" spans="1:7" x14ac:dyDescent="0.35">
      <c r="A45" s="12"/>
      <c r="B45" s="30"/>
      <c r="C45" s="30"/>
      <c r="D45" s="13"/>
      <c r="E45" s="14"/>
      <c r="F45" s="15"/>
      <c r="G45" s="15"/>
    </row>
    <row r="46" spans="1:7" x14ac:dyDescent="0.35">
      <c r="A46" s="16" t="s">
        <v>97</v>
      </c>
      <c r="B46" s="30"/>
      <c r="C46" s="30"/>
      <c r="D46" s="13"/>
      <c r="E46" s="14"/>
      <c r="F46" s="15"/>
      <c r="G46" s="15"/>
    </row>
    <row r="47" spans="1:7" x14ac:dyDescent="0.35">
      <c r="A47" s="16" t="s">
        <v>103</v>
      </c>
      <c r="B47" s="30"/>
      <c r="C47" s="30"/>
      <c r="D47" s="13"/>
      <c r="E47" s="14"/>
      <c r="F47" s="15"/>
      <c r="G47" s="15"/>
    </row>
    <row r="48" spans="1:7" x14ac:dyDescent="0.35">
      <c r="A48" s="12" t="s">
        <v>194</v>
      </c>
      <c r="B48" s="30" t="s">
        <v>195</v>
      </c>
      <c r="C48" s="30" t="s">
        <v>106</v>
      </c>
      <c r="D48" s="13">
        <v>12500000</v>
      </c>
      <c r="E48" s="14">
        <v>12166.78</v>
      </c>
      <c r="F48" s="15">
        <v>1.7899999999999999E-2</v>
      </c>
      <c r="G48" s="15">
        <v>7.0400000000000004E-2</v>
      </c>
    </row>
    <row r="49" spans="1:7" x14ac:dyDescent="0.35">
      <c r="A49" s="12" t="s">
        <v>2130</v>
      </c>
      <c r="B49" s="30" t="s">
        <v>196</v>
      </c>
      <c r="C49" s="30" t="s">
        <v>106</v>
      </c>
      <c r="D49" s="13">
        <v>10000000</v>
      </c>
      <c r="E49" s="14">
        <v>9812.7199999999993</v>
      </c>
      <c r="F49" s="15">
        <v>1.44E-2</v>
      </c>
      <c r="G49" s="15">
        <v>7.0364999999999997E-2</v>
      </c>
    </row>
    <row r="50" spans="1:7" x14ac:dyDescent="0.35">
      <c r="A50" s="12" t="s">
        <v>197</v>
      </c>
      <c r="B50" s="30" t="s">
        <v>198</v>
      </c>
      <c r="C50" s="30" t="s">
        <v>106</v>
      </c>
      <c r="D50" s="13">
        <v>10000000</v>
      </c>
      <c r="E50" s="14">
        <v>9770.1</v>
      </c>
      <c r="F50" s="15">
        <v>1.44E-2</v>
      </c>
      <c r="G50" s="15">
        <v>7.0400000000000004E-2</v>
      </c>
    </row>
    <row r="51" spans="1:7" x14ac:dyDescent="0.35">
      <c r="A51" s="12" t="s">
        <v>199</v>
      </c>
      <c r="B51" s="30" t="s">
        <v>200</v>
      </c>
      <c r="C51" s="30" t="s">
        <v>106</v>
      </c>
      <c r="D51" s="13">
        <v>5000000</v>
      </c>
      <c r="E51" s="14">
        <v>4872.6400000000003</v>
      </c>
      <c r="F51" s="15">
        <v>7.1999999999999998E-3</v>
      </c>
      <c r="G51" s="15">
        <v>7.0151000000000005E-2</v>
      </c>
    </row>
    <row r="52" spans="1:7" x14ac:dyDescent="0.35">
      <c r="A52" s="16" t="s">
        <v>102</v>
      </c>
      <c r="B52" s="31"/>
      <c r="C52" s="31"/>
      <c r="D52" s="17"/>
      <c r="E52" s="18">
        <v>36622.239999999998</v>
      </c>
      <c r="F52" s="19">
        <v>5.3900000000000003E-2</v>
      </c>
      <c r="G52" s="20"/>
    </row>
    <row r="53" spans="1:7" x14ac:dyDescent="0.35">
      <c r="A53" s="12"/>
      <c r="B53" s="30"/>
      <c r="C53" s="30"/>
      <c r="D53" s="13"/>
      <c r="E53" s="14"/>
      <c r="F53" s="15"/>
      <c r="G53" s="15"/>
    </row>
    <row r="54" spans="1:7" x14ac:dyDescent="0.35">
      <c r="A54" s="21" t="s">
        <v>129</v>
      </c>
      <c r="B54" s="32"/>
      <c r="C54" s="32"/>
      <c r="D54" s="22"/>
      <c r="E54" s="18">
        <v>36622.239999999998</v>
      </c>
      <c r="F54" s="19">
        <v>5.3900000000000003E-2</v>
      </c>
      <c r="G54" s="20"/>
    </row>
    <row r="55" spans="1:7" x14ac:dyDescent="0.35">
      <c r="A55" s="12"/>
      <c r="B55" s="30"/>
      <c r="C55" s="30"/>
      <c r="D55" s="13"/>
      <c r="E55" s="14"/>
      <c r="F55" s="15"/>
      <c r="G55" s="15"/>
    </row>
    <row r="56" spans="1:7" x14ac:dyDescent="0.35">
      <c r="A56" s="12"/>
      <c r="B56" s="30"/>
      <c r="C56" s="30"/>
      <c r="D56" s="13"/>
      <c r="E56" s="14"/>
      <c r="F56" s="15"/>
      <c r="G56" s="15"/>
    </row>
    <row r="57" spans="1:7" x14ac:dyDescent="0.35">
      <c r="A57" s="16" t="s">
        <v>130</v>
      </c>
      <c r="B57" s="30"/>
      <c r="C57" s="30"/>
      <c r="D57" s="13"/>
      <c r="E57" s="14"/>
      <c r="F57" s="15"/>
      <c r="G57" s="15"/>
    </row>
    <row r="58" spans="1:7" x14ac:dyDescent="0.35">
      <c r="A58" s="12" t="s">
        <v>131</v>
      </c>
      <c r="B58" s="30"/>
      <c r="C58" s="30"/>
      <c r="D58" s="13"/>
      <c r="E58" s="14">
        <v>2708.55</v>
      </c>
      <c r="F58" s="15">
        <v>4.0000000000000001E-3</v>
      </c>
      <c r="G58" s="53">
        <v>6.1074000000000003E-2</v>
      </c>
    </row>
    <row r="59" spans="1:7" x14ac:dyDescent="0.35">
      <c r="A59" s="16" t="s">
        <v>102</v>
      </c>
      <c r="B59" s="31"/>
      <c r="C59" s="31"/>
      <c r="D59" s="17"/>
      <c r="E59" s="18">
        <v>2708.55</v>
      </c>
      <c r="F59" s="19">
        <v>4.0000000000000001E-3</v>
      </c>
      <c r="G59" s="54"/>
    </row>
    <row r="60" spans="1:7" x14ac:dyDescent="0.35">
      <c r="A60" s="12"/>
      <c r="B60" s="30"/>
      <c r="C60" s="30"/>
      <c r="D60" s="13"/>
      <c r="E60" s="14"/>
      <c r="F60" s="15"/>
      <c r="G60" s="53"/>
    </row>
    <row r="61" spans="1:7" x14ac:dyDescent="0.35">
      <c r="A61" s="21" t="s">
        <v>129</v>
      </c>
      <c r="B61" s="32"/>
      <c r="C61" s="32"/>
      <c r="D61" s="22"/>
      <c r="E61" s="18">
        <v>2708.55</v>
      </c>
      <c r="F61" s="19">
        <v>4.0000000000000001E-3</v>
      </c>
      <c r="G61" s="54"/>
    </row>
    <row r="62" spans="1:7" x14ac:dyDescent="0.35">
      <c r="A62" s="12" t="s">
        <v>132</v>
      </c>
      <c r="B62" s="30"/>
      <c r="C62" s="30"/>
      <c r="D62" s="13"/>
      <c r="E62" s="14">
        <v>25672.3426898</v>
      </c>
      <c r="F62" s="15">
        <v>3.7787000000000001E-2</v>
      </c>
      <c r="G62" s="53"/>
    </row>
    <row r="63" spans="1:7" x14ac:dyDescent="0.35">
      <c r="A63" s="12" t="s">
        <v>133</v>
      </c>
      <c r="B63" s="30"/>
      <c r="C63" s="30"/>
      <c r="D63" s="13"/>
      <c r="E63" s="23">
        <v>-2485.4126898</v>
      </c>
      <c r="F63" s="24">
        <v>-3.6870000000000002E-3</v>
      </c>
      <c r="G63" s="53">
        <v>6.1074000000000003E-2</v>
      </c>
    </row>
    <row r="64" spans="1:7" x14ac:dyDescent="0.35">
      <c r="A64" s="25" t="s">
        <v>134</v>
      </c>
      <c r="B64" s="33"/>
      <c r="C64" s="33"/>
      <c r="D64" s="26"/>
      <c r="E64" s="27">
        <v>679384.82</v>
      </c>
      <c r="F64" s="28">
        <v>1</v>
      </c>
      <c r="G64" s="28"/>
    </row>
    <row r="66" spans="1:7" x14ac:dyDescent="0.35">
      <c r="A66" s="1" t="s">
        <v>135</v>
      </c>
    </row>
    <row r="67" spans="1:7" x14ac:dyDescent="0.35">
      <c r="A67" s="1" t="s">
        <v>136</v>
      </c>
    </row>
    <row r="69" spans="1:7" x14ac:dyDescent="0.35">
      <c r="A69" s="1" t="s">
        <v>1981</v>
      </c>
    </row>
    <row r="70" spans="1:7" x14ac:dyDescent="0.35">
      <c r="A70" s="47" t="s">
        <v>1982</v>
      </c>
      <c r="B70" s="34" t="s">
        <v>96</v>
      </c>
    </row>
    <row r="71" spans="1:7" x14ac:dyDescent="0.35">
      <c r="A71" t="s">
        <v>1983</v>
      </c>
    </row>
    <row r="72" spans="1:7" x14ac:dyDescent="0.35">
      <c r="A72" t="s">
        <v>2007</v>
      </c>
      <c r="B72" t="s">
        <v>1985</v>
      </c>
      <c r="C72" t="s">
        <v>1985</v>
      </c>
    </row>
    <row r="73" spans="1:7" x14ac:dyDescent="0.35">
      <c r="B73" s="48">
        <v>44834</v>
      </c>
      <c r="C73" s="48">
        <v>44865</v>
      </c>
    </row>
    <row r="74" spans="1:7" x14ac:dyDescent="0.35">
      <c r="A74" t="s">
        <v>2008</v>
      </c>
      <c r="B74">
        <v>1188.3683000000001</v>
      </c>
      <c r="C74">
        <v>1193.4978000000001</v>
      </c>
      <c r="E74" s="2"/>
      <c r="G74"/>
    </row>
    <row r="75" spans="1:7" x14ac:dyDescent="0.35">
      <c r="E75" s="2"/>
      <c r="G75"/>
    </row>
    <row r="76" spans="1:7" x14ac:dyDescent="0.35">
      <c r="A76" t="s">
        <v>2000</v>
      </c>
      <c r="B76" s="34" t="s">
        <v>96</v>
      </c>
    </row>
    <row r="77" spans="1:7" x14ac:dyDescent="0.35">
      <c r="A77" t="s">
        <v>2001</v>
      </c>
      <c r="B77" s="34" t="s">
        <v>96</v>
      </c>
    </row>
    <row r="78" spans="1:7" ht="29" x14ac:dyDescent="0.35">
      <c r="A78" s="47" t="s">
        <v>2002</v>
      </c>
      <c r="B78" s="34" t="s">
        <v>96</v>
      </c>
    </row>
    <row r="79" spans="1:7" ht="29" x14ac:dyDescent="0.35">
      <c r="A79" s="47" t="s">
        <v>2003</v>
      </c>
      <c r="B79" s="34" t="s">
        <v>96</v>
      </c>
    </row>
    <row r="80" spans="1:7" x14ac:dyDescent="0.35">
      <c r="A80" t="s">
        <v>2004</v>
      </c>
      <c r="B80" s="49">
        <v>0.42289278863429602</v>
      </c>
    </row>
    <row r="81" spans="1:4" ht="43.5" x14ac:dyDescent="0.35">
      <c r="A81" s="47" t="s">
        <v>2005</v>
      </c>
      <c r="B81" s="34" t="s">
        <v>96</v>
      </c>
    </row>
    <row r="82" spans="1:4" ht="29" x14ac:dyDescent="0.35">
      <c r="A82" s="47" t="s">
        <v>2006</v>
      </c>
      <c r="B82" s="34" t="s">
        <v>96</v>
      </c>
    </row>
    <row r="83" spans="1:4" ht="29" x14ac:dyDescent="0.35">
      <c r="A83" s="47" t="s">
        <v>2009</v>
      </c>
      <c r="B83" s="49">
        <f>EDFF23!E11</f>
        <v>329431.28999999998</v>
      </c>
    </row>
    <row r="84" spans="1:4" ht="29" x14ac:dyDescent="0.35">
      <c r="A84" s="47" t="s">
        <v>2135</v>
      </c>
      <c r="B84" s="34" t="s">
        <v>96</v>
      </c>
    </row>
    <row r="85" spans="1:4" ht="29" x14ac:dyDescent="0.35">
      <c r="A85" s="47" t="s">
        <v>2136</v>
      </c>
      <c r="B85" s="34" t="s">
        <v>96</v>
      </c>
    </row>
    <row r="87" spans="1:4" ht="29" x14ac:dyDescent="0.35">
      <c r="A87" s="160" t="s">
        <v>2154</v>
      </c>
      <c r="B87" s="161" t="s">
        <v>2155</v>
      </c>
      <c r="C87" s="161" t="s">
        <v>2156</v>
      </c>
      <c r="D87" s="165" t="s">
        <v>2157</v>
      </c>
    </row>
    <row r="88" spans="1:4" ht="77" customHeight="1" x14ac:dyDescent="0.35">
      <c r="A88" s="164" t="s">
        <v>2161</v>
      </c>
      <c r="B88" s="162"/>
      <c r="C88" s="163" t="s">
        <v>2162</v>
      </c>
      <c r="D88" s="162"/>
    </row>
  </sheetData>
  <mergeCells count="2">
    <mergeCell ref="A1:G1"/>
    <mergeCell ref="A2:G2"/>
  </mergeCell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1CC8-FF94-4333-B224-DEAFAFCC6B2F}">
  <dimension ref="A1:H104"/>
  <sheetViews>
    <sheetView showGridLines="0" workbookViewId="0">
      <pane ySplit="4" topLeftCell="A103" activePane="bottomLeft" state="frozen"/>
      <selection activeCell="A2" sqref="A2:XFD2"/>
      <selection pane="bottomLeft" activeCell="B104" sqref="B104:D104"/>
    </sheetView>
  </sheetViews>
  <sheetFormatPr defaultRowHeight="14.5" x14ac:dyDescent="0.35"/>
  <cols>
    <col min="1" max="1" width="50.453125" customWidth="1"/>
    <col min="2" max="2" width="25.54296875" customWidth="1"/>
    <col min="3" max="3" width="26.6328125" customWidth="1"/>
    <col min="4" max="4" width="21.8164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11</v>
      </c>
      <c r="B1" s="151"/>
      <c r="C1" s="151"/>
      <c r="D1" s="151"/>
      <c r="E1" s="151"/>
      <c r="F1" s="151"/>
      <c r="G1" s="151"/>
      <c r="H1" s="50" t="str">
        <f>HYPERLINK("[EDEL_Portfolio Monthly Notes 31-Oct-2022.xlsx]Index!A1","Index")</f>
        <v>Index</v>
      </c>
    </row>
    <row r="2" spans="1:8" ht="31" customHeight="1" x14ac:dyDescent="0.35">
      <c r="A2" s="151" t="s">
        <v>12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201</v>
      </c>
      <c r="B11" s="30" t="s">
        <v>202</v>
      </c>
      <c r="C11" s="30" t="s">
        <v>141</v>
      </c>
      <c r="D11" s="13">
        <v>85000000</v>
      </c>
      <c r="E11" s="14">
        <v>81121.11</v>
      </c>
      <c r="F11" s="15">
        <v>8.0699999999999994E-2</v>
      </c>
      <c r="G11" s="15">
        <v>7.5149999999999995E-2</v>
      </c>
    </row>
    <row r="12" spans="1:8" x14ac:dyDescent="0.35">
      <c r="A12" s="12" t="s">
        <v>203</v>
      </c>
      <c r="B12" s="30" t="s">
        <v>204</v>
      </c>
      <c r="C12" s="30" t="s">
        <v>141</v>
      </c>
      <c r="D12" s="13">
        <v>83500000</v>
      </c>
      <c r="E12" s="14">
        <v>79674.45</v>
      </c>
      <c r="F12" s="15">
        <v>7.9299999999999995E-2</v>
      </c>
      <c r="G12" s="15">
        <v>7.4825000000000003E-2</v>
      </c>
    </row>
    <row r="13" spans="1:8" x14ac:dyDescent="0.35">
      <c r="A13" s="12" t="s">
        <v>205</v>
      </c>
      <c r="B13" s="30" t="s">
        <v>206</v>
      </c>
      <c r="C13" s="30" t="s">
        <v>157</v>
      </c>
      <c r="D13" s="13">
        <v>72500000</v>
      </c>
      <c r="E13" s="14">
        <v>69566.58</v>
      </c>
      <c r="F13" s="15">
        <v>6.9199999999999998E-2</v>
      </c>
      <c r="G13" s="15">
        <v>7.5450000000000003E-2</v>
      </c>
    </row>
    <row r="14" spans="1:8" x14ac:dyDescent="0.35">
      <c r="A14" s="12" t="s">
        <v>207</v>
      </c>
      <c r="B14" s="30" t="s">
        <v>208</v>
      </c>
      <c r="C14" s="30" t="s">
        <v>141</v>
      </c>
      <c r="D14" s="13">
        <v>71500000</v>
      </c>
      <c r="E14" s="14">
        <v>68984.84</v>
      </c>
      <c r="F14" s="15">
        <v>6.8599999999999994E-2</v>
      </c>
      <c r="G14" s="15">
        <v>7.5499999999999998E-2</v>
      </c>
    </row>
    <row r="15" spans="1:8" x14ac:dyDescent="0.35">
      <c r="A15" s="12" t="s">
        <v>209</v>
      </c>
      <c r="B15" s="30" t="s">
        <v>210</v>
      </c>
      <c r="C15" s="30" t="s">
        <v>148</v>
      </c>
      <c r="D15" s="13">
        <v>66500000</v>
      </c>
      <c r="E15" s="14">
        <v>63498.92</v>
      </c>
      <c r="F15" s="15">
        <v>6.3200000000000006E-2</v>
      </c>
      <c r="G15" s="15">
        <v>7.5399999999999995E-2</v>
      </c>
    </row>
    <row r="16" spans="1:8" x14ac:dyDescent="0.35">
      <c r="A16" s="12" t="s">
        <v>211</v>
      </c>
      <c r="B16" s="30" t="s">
        <v>212</v>
      </c>
      <c r="C16" s="30" t="s">
        <v>141</v>
      </c>
      <c r="D16" s="13">
        <v>65000000</v>
      </c>
      <c r="E16" s="14">
        <v>62502.96</v>
      </c>
      <c r="F16" s="15">
        <v>6.2199999999999998E-2</v>
      </c>
      <c r="G16" s="15">
        <v>7.5499999999999998E-2</v>
      </c>
    </row>
    <row r="17" spans="1:7" x14ac:dyDescent="0.35">
      <c r="A17" s="12" t="s">
        <v>213</v>
      </c>
      <c r="B17" s="30" t="s">
        <v>214</v>
      </c>
      <c r="C17" s="30" t="s">
        <v>141</v>
      </c>
      <c r="D17" s="13">
        <v>61000000</v>
      </c>
      <c r="E17" s="14">
        <v>58159.23</v>
      </c>
      <c r="F17" s="15">
        <v>5.79E-2</v>
      </c>
      <c r="G17" s="15">
        <v>7.5399999999999995E-2</v>
      </c>
    </row>
    <row r="18" spans="1:7" x14ac:dyDescent="0.35">
      <c r="A18" s="12" t="s">
        <v>215</v>
      </c>
      <c r="B18" s="30" t="s">
        <v>216</v>
      </c>
      <c r="C18" s="30" t="s">
        <v>141</v>
      </c>
      <c r="D18" s="13">
        <v>55500000</v>
      </c>
      <c r="E18" s="14">
        <v>54855.03</v>
      </c>
      <c r="F18" s="15">
        <v>5.4600000000000003E-2</v>
      </c>
      <c r="G18" s="15">
        <v>7.4450000000000002E-2</v>
      </c>
    </row>
    <row r="19" spans="1:7" x14ac:dyDescent="0.35">
      <c r="A19" s="12" t="s">
        <v>217</v>
      </c>
      <c r="B19" s="30" t="s">
        <v>218</v>
      </c>
      <c r="C19" s="30" t="s">
        <v>148</v>
      </c>
      <c r="D19" s="13">
        <v>54000000</v>
      </c>
      <c r="E19" s="14">
        <v>51444.02</v>
      </c>
      <c r="F19" s="15">
        <v>5.1200000000000002E-2</v>
      </c>
      <c r="G19" s="15">
        <v>7.5450000000000003E-2</v>
      </c>
    </row>
    <row r="20" spans="1:7" x14ac:dyDescent="0.35">
      <c r="A20" s="12" t="s">
        <v>219</v>
      </c>
      <c r="B20" s="30" t="s">
        <v>220</v>
      </c>
      <c r="C20" s="30" t="s">
        <v>141</v>
      </c>
      <c r="D20" s="13">
        <v>46000000</v>
      </c>
      <c r="E20" s="14">
        <v>44980.959999999999</v>
      </c>
      <c r="F20" s="15">
        <v>4.48E-2</v>
      </c>
      <c r="G20" s="15">
        <v>7.4099999999999999E-2</v>
      </c>
    </row>
    <row r="21" spans="1:7" x14ac:dyDescent="0.35">
      <c r="A21" s="12" t="s">
        <v>221</v>
      </c>
      <c r="B21" s="30" t="s">
        <v>222</v>
      </c>
      <c r="C21" s="30" t="s">
        <v>148</v>
      </c>
      <c r="D21" s="13">
        <v>41500000</v>
      </c>
      <c r="E21" s="14">
        <v>39562.199999999997</v>
      </c>
      <c r="F21" s="15">
        <v>3.9399999999999998E-2</v>
      </c>
      <c r="G21" s="15">
        <v>7.4099999999999999E-2</v>
      </c>
    </row>
    <row r="22" spans="1:7" x14ac:dyDescent="0.35">
      <c r="A22" s="12" t="s">
        <v>223</v>
      </c>
      <c r="B22" s="30" t="s">
        <v>224</v>
      </c>
      <c r="C22" s="30" t="s">
        <v>141</v>
      </c>
      <c r="D22" s="13">
        <v>39500000</v>
      </c>
      <c r="E22" s="14">
        <v>37666.53</v>
      </c>
      <c r="F22" s="15">
        <v>3.7499999999999999E-2</v>
      </c>
      <c r="G22" s="15">
        <v>7.4898000000000006E-2</v>
      </c>
    </row>
    <row r="23" spans="1:7" x14ac:dyDescent="0.35">
      <c r="A23" s="12" t="s">
        <v>225</v>
      </c>
      <c r="B23" s="30" t="s">
        <v>226</v>
      </c>
      <c r="C23" s="30" t="s">
        <v>141</v>
      </c>
      <c r="D23" s="13">
        <v>35000000</v>
      </c>
      <c r="E23" s="14">
        <v>34912.01</v>
      </c>
      <c r="F23" s="15">
        <v>3.4700000000000002E-2</v>
      </c>
      <c r="G23" s="15">
        <v>7.5499999999999998E-2</v>
      </c>
    </row>
    <row r="24" spans="1:7" x14ac:dyDescent="0.35">
      <c r="A24" s="12" t="s">
        <v>227</v>
      </c>
      <c r="B24" s="30" t="s">
        <v>228</v>
      </c>
      <c r="C24" s="30" t="s">
        <v>141</v>
      </c>
      <c r="D24" s="13">
        <v>22500000</v>
      </c>
      <c r="E24" s="14">
        <v>22302.68</v>
      </c>
      <c r="F24" s="15">
        <v>2.2200000000000001E-2</v>
      </c>
      <c r="G24" s="15">
        <v>7.4249999999999997E-2</v>
      </c>
    </row>
    <row r="25" spans="1:7" x14ac:dyDescent="0.35">
      <c r="A25" s="12" t="s">
        <v>229</v>
      </c>
      <c r="B25" s="30" t="s">
        <v>230</v>
      </c>
      <c r="C25" s="30" t="s">
        <v>148</v>
      </c>
      <c r="D25" s="13">
        <v>22500000</v>
      </c>
      <c r="E25" s="14">
        <v>21606.5</v>
      </c>
      <c r="F25" s="15">
        <v>2.1499999999999998E-2</v>
      </c>
      <c r="G25" s="15">
        <v>7.5450000000000003E-2</v>
      </c>
    </row>
    <row r="26" spans="1:7" x14ac:dyDescent="0.35">
      <c r="A26" s="12" t="s">
        <v>231</v>
      </c>
      <c r="B26" s="30" t="s">
        <v>232</v>
      </c>
      <c r="C26" s="30" t="s">
        <v>141</v>
      </c>
      <c r="D26" s="13">
        <v>17000000</v>
      </c>
      <c r="E26" s="14">
        <v>16883.41</v>
      </c>
      <c r="F26" s="15">
        <v>1.6799999999999999E-2</v>
      </c>
      <c r="G26" s="15">
        <v>7.3950000000000002E-2</v>
      </c>
    </row>
    <row r="27" spans="1:7" x14ac:dyDescent="0.35">
      <c r="A27" s="12" t="s">
        <v>233</v>
      </c>
      <c r="B27" s="30" t="s">
        <v>234</v>
      </c>
      <c r="C27" s="30" t="s">
        <v>141</v>
      </c>
      <c r="D27" s="13">
        <v>12500000</v>
      </c>
      <c r="E27" s="14">
        <v>12463.11</v>
      </c>
      <c r="F27" s="15">
        <v>1.24E-2</v>
      </c>
      <c r="G27" s="15">
        <v>7.5499999999999998E-2</v>
      </c>
    </row>
    <row r="28" spans="1:7" x14ac:dyDescent="0.35">
      <c r="A28" s="12" t="s">
        <v>235</v>
      </c>
      <c r="B28" s="30" t="s">
        <v>236</v>
      </c>
      <c r="C28" s="30" t="s">
        <v>141</v>
      </c>
      <c r="D28" s="13">
        <v>11500000</v>
      </c>
      <c r="E28" s="14">
        <v>11332.51</v>
      </c>
      <c r="F28" s="15">
        <v>1.1299999999999999E-2</v>
      </c>
      <c r="G28" s="15">
        <v>7.5499999999999998E-2</v>
      </c>
    </row>
    <row r="29" spans="1:7" x14ac:dyDescent="0.35">
      <c r="A29" s="12" t="s">
        <v>237</v>
      </c>
      <c r="B29" s="30" t="s">
        <v>238</v>
      </c>
      <c r="C29" s="30" t="s">
        <v>141</v>
      </c>
      <c r="D29" s="13">
        <v>11000000</v>
      </c>
      <c r="E29" s="14">
        <v>10699.17</v>
      </c>
      <c r="F29" s="15">
        <v>1.06E-2</v>
      </c>
      <c r="G29" s="15">
        <v>7.5499999999999998E-2</v>
      </c>
    </row>
    <row r="30" spans="1:7" x14ac:dyDescent="0.35">
      <c r="A30" s="12" t="s">
        <v>239</v>
      </c>
      <c r="B30" s="30" t="s">
        <v>240</v>
      </c>
      <c r="C30" s="30" t="s">
        <v>141</v>
      </c>
      <c r="D30" s="13">
        <v>10000000</v>
      </c>
      <c r="E30" s="14">
        <v>10398.799999999999</v>
      </c>
      <c r="F30" s="15">
        <v>1.03E-2</v>
      </c>
      <c r="G30" s="15">
        <v>7.331E-2</v>
      </c>
    </row>
    <row r="31" spans="1:7" x14ac:dyDescent="0.35">
      <c r="A31" s="12" t="s">
        <v>241</v>
      </c>
      <c r="B31" s="30" t="s">
        <v>242</v>
      </c>
      <c r="C31" s="30" t="s">
        <v>141</v>
      </c>
      <c r="D31" s="13">
        <v>9500000</v>
      </c>
      <c r="E31" s="14">
        <v>9697.08</v>
      </c>
      <c r="F31" s="15">
        <v>9.5999999999999992E-3</v>
      </c>
      <c r="G31" s="15">
        <v>7.5499999999999998E-2</v>
      </c>
    </row>
    <row r="32" spans="1:7" x14ac:dyDescent="0.35">
      <c r="A32" s="12" t="s">
        <v>243</v>
      </c>
      <c r="B32" s="30" t="s">
        <v>244</v>
      </c>
      <c r="C32" s="30" t="s">
        <v>141</v>
      </c>
      <c r="D32" s="13">
        <v>9500000</v>
      </c>
      <c r="E32" s="14">
        <v>9273.99</v>
      </c>
      <c r="F32" s="15">
        <v>9.1999999999999998E-3</v>
      </c>
      <c r="G32" s="15">
        <v>7.51E-2</v>
      </c>
    </row>
    <row r="33" spans="1:7" x14ac:dyDescent="0.35">
      <c r="A33" s="12" t="s">
        <v>245</v>
      </c>
      <c r="B33" s="30" t="s">
        <v>246</v>
      </c>
      <c r="C33" s="30" t="s">
        <v>141</v>
      </c>
      <c r="D33" s="13">
        <v>8500000</v>
      </c>
      <c r="E33" s="14">
        <v>8663.84</v>
      </c>
      <c r="F33" s="15">
        <v>8.6E-3</v>
      </c>
      <c r="G33" s="15">
        <v>7.5524999999999995E-2</v>
      </c>
    </row>
    <row r="34" spans="1:7" x14ac:dyDescent="0.35">
      <c r="A34" s="12" t="s">
        <v>247</v>
      </c>
      <c r="B34" s="30" t="s">
        <v>248</v>
      </c>
      <c r="C34" s="30" t="s">
        <v>141</v>
      </c>
      <c r="D34" s="13">
        <v>8500000</v>
      </c>
      <c r="E34" s="14">
        <v>8417.8799999999992</v>
      </c>
      <c r="F34" s="15">
        <v>8.3999999999999995E-3</v>
      </c>
      <c r="G34" s="15">
        <v>7.5499999999999998E-2</v>
      </c>
    </row>
    <row r="35" spans="1:7" x14ac:dyDescent="0.35">
      <c r="A35" s="12" t="s">
        <v>249</v>
      </c>
      <c r="B35" s="30" t="s">
        <v>250</v>
      </c>
      <c r="C35" s="30" t="s">
        <v>141</v>
      </c>
      <c r="D35" s="13">
        <v>7500000</v>
      </c>
      <c r="E35" s="14">
        <v>7445.96</v>
      </c>
      <c r="F35" s="15">
        <v>7.4000000000000003E-3</v>
      </c>
      <c r="G35" s="15">
        <v>7.4200000000000002E-2</v>
      </c>
    </row>
    <row r="36" spans="1:7" x14ac:dyDescent="0.35">
      <c r="A36" s="12" t="s">
        <v>251</v>
      </c>
      <c r="B36" s="30" t="s">
        <v>252</v>
      </c>
      <c r="C36" s="30" t="s">
        <v>148</v>
      </c>
      <c r="D36" s="13">
        <v>7500000</v>
      </c>
      <c r="E36" s="14">
        <v>7258.12</v>
      </c>
      <c r="F36" s="15">
        <v>7.1999999999999998E-3</v>
      </c>
      <c r="G36" s="15">
        <v>7.5399999999999995E-2</v>
      </c>
    </row>
    <row r="37" spans="1:7" x14ac:dyDescent="0.35">
      <c r="A37" s="12" t="s">
        <v>253</v>
      </c>
      <c r="B37" s="30" t="s">
        <v>254</v>
      </c>
      <c r="C37" s="30" t="s">
        <v>141</v>
      </c>
      <c r="D37" s="13">
        <v>6500000</v>
      </c>
      <c r="E37" s="14">
        <v>6511.41</v>
      </c>
      <c r="F37" s="15">
        <v>6.4999999999999997E-3</v>
      </c>
      <c r="G37" s="15">
        <v>7.5200000000000003E-2</v>
      </c>
    </row>
    <row r="38" spans="1:7" x14ac:dyDescent="0.35">
      <c r="A38" s="12" t="s">
        <v>255</v>
      </c>
      <c r="B38" s="30" t="s">
        <v>256</v>
      </c>
      <c r="C38" s="30" t="s">
        <v>141</v>
      </c>
      <c r="D38" s="13">
        <v>6500000</v>
      </c>
      <c r="E38" s="14">
        <v>6410.77</v>
      </c>
      <c r="F38" s="15">
        <v>6.4000000000000003E-3</v>
      </c>
      <c r="G38" s="15">
        <v>7.4550000000000005E-2</v>
      </c>
    </row>
    <row r="39" spans="1:7" x14ac:dyDescent="0.35">
      <c r="A39" s="12" t="s">
        <v>257</v>
      </c>
      <c r="B39" s="30" t="s">
        <v>258</v>
      </c>
      <c r="C39" s="30" t="s">
        <v>141</v>
      </c>
      <c r="D39" s="13">
        <v>6000000</v>
      </c>
      <c r="E39" s="14">
        <v>6172.66</v>
      </c>
      <c r="F39" s="15">
        <v>6.1000000000000004E-3</v>
      </c>
      <c r="G39" s="15">
        <v>7.5499999999999998E-2</v>
      </c>
    </row>
    <row r="40" spans="1:7" x14ac:dyDescent="0.35">
      <c r="A40" s="12" t="s">
        <v>259</v>
      </c>
      <c r="B40" s="30" t="s">
        <v>260</v>
      </c>
      <c r="C40" s="30" t="s">
        <v>141</v>
      </c>
      <c r="D40" s="13">
        <v>6000000</v>
      </c>
      <c r="E40" s="14">
        <v>6085.58</v>
      </c>
      <c r="F40" s="15">
        <v>6.1000000000000004E-3</v>
      </c>
      <c r="G40" s="15">
        <v>7.5495999999999994E-2</v>
      </c>
    </row>
    <row r="41" spans="1:7" x14ac:dyDescent="0.35">
      <c r="A41" s="12" t="s">
        <v>261</v>
      </c>
      <c r="B41" s="30" t="s">
        <v>262</v>
      </c>
      <c r="C41" s="30" t="s">
        <v>141</v>
      </c>
      <c r="D41" s="13">
        <v>5500000</v>
      </c>
      <c r="E41" s="14">
        <v>5573.08</v>
      </c>
      <c r="F41" s="15">
        <v>5.4999999999999997E-3</v>
      </c>
      <c r="G41" s="15">
        <v>7.5499999999999998E-2</v>
      </c>
    </row>
    <row r="42" spans="1:7" x14ac:dyDescent="0.35">
      <c r="A42" s="12" t="s">
        <v>263</v>
      </c>
      <c r="B42" s="30" t="s">
        <v>264</v>
      </c>
      <c r="C42" s="30" t="s">
        <v>141</v>
      </c>
      <c r="D42" s="13">
        <v>5000000</v>
      </c>
      <c r="E42" s="14">
        <v>5081.01</v>
      </c>
      <c r="F42" s="15">
        <v>5.1000000000000004E-3</v>
      </c>
      <c r="G42" s="15">
        <v>7.5499999999999998E-2</v>
      </c>
    </row>
    <row r="43" spans="1:7" x14ac:dyDescent="0.35">
      <c r="A43" s="12" t="s">
        <v>265</v>
      </c>
      <c r="B43" s="30" t="s">
        <v>266</v>
      </c>
      <c r="C43" s="30" t="s">
        <v>148</v>
      </c>
      <c r="D43" s="13">
        <v>5000000</v>
      </c>
      <c r="E43" s="14">
        <v>4801.13</v>
      </c>
      <c r="F43" s="15">
        <v>4.7999999999999996E-3</v>
      </c>
      <c r="G43" s="15">
        <v>7.5399999999999995E-2</v>
      </c>
    </row>
    <row r="44" spans="1:7" x14ac:dyDescent="0.35">
      <c r="A44" s="12" t="s">
        <v>267</v>
      </c>
      <c r="B44" s="30" t="s">
        <v>268</v>
      </c>
      <c r="C44" s="30" t="s">
        <v>141</v>
      </c>
      <c r="D44" s="13">
        <v>4500000</v>
      </c>
      <c r="E44" s="14">
        <v>4564.22</v>
      </c>
      <c r="F44" s="15">
        <v>4.4999999999999997E-3</v>
      </c>
      <c r="G44" s="15">
        <v>7.4548000000000003E-2</v>
      </c>
    </row>
    <row r="45" spans="1:7" x14ac:dyDescent="0.35">
      <c r="A45" s="12" t="s">
        <v>269</v>
      </c>
      <c r="B45" s="30" t="s">
        <v>270</v>
      </c>
      <c r="C45" s="30" t="s">
        <v>141</v>
      </c>
      <c r="D45" s="13">
        <v>3500000</v>
      </c>
      <c r="E45" s="14">
        <v>3560.2</v>
      </c>
      <c r="F45" s="15">
        <v>3.5000000000000001E-3</v>
      </c>
      <c r="G45" s="15">
        <v>7.5499999999999998E-2</v>
      </c>
    </row>
    <row r="46" spans="1:7" x14ac:dyDescent="0.35">
      <c r="A46" s="12" t="s">
        <v>271</v>
      </c>
      <c r="B46" s="30" t="s">
        <v>272</v>
      </c>
      <c r="C46" s="30" t="s">
        <v>141</v>
      </c>
      <c r="D46" s="13">
        <v>2500000</v>
      </c>
      <c r="E46" s="14">
        <v>2540.92</v>
      </c>
      <c r="F46" s="15">
        <v>2.5000000000000001E-3</v>
      </c>
      <c r="G46" s="15">
        <v>7.5505000000000003E-2</v>
      </c>
    </row>
    <row r="47" spans="1:7" x14ac:dyDescent="0.35">
      <c r="A47" s="12" t="s">
        <v>273</v>
      </c>
      <c r="B47" s="30" t="s">
        <v>274</v>
      </c>
      <c r="C47" s="30" t="s">
        <v>141</v>
      </c>
      <c r="D47" s="13">
        <v>2500000</v>
      </c>
      <c r="E47" s="14">
        <v>2443.88</v>
      </c>
      <c r="F47" s="15">
        <v>2.3999999999999998E-3</v>
      </c>
      <c r="G47" s="15">
        <v>7.4779999999999999E-2</v>
      </c>
    </row>
    <row r="48" spans="1:7" x14ac:dyDescent="0.35">
      <c r="A48" s="12" t="s">
        <v>275</v>
      </c>
      <c r="B48" s="30" t="s">
        <v>276</v>
      </c>
      <c r="C48" s="30" t="s">
        <v>148</v>
      </c>
      <c r="D48" s="13">
        <v>2500000</v>
      </c>
      <c r="E48" s="14">
        <v>2422.1799999999998</v>
      </c>
      <c r="F48" s="15">
        <v>2.3999999999999998E-3</v>
      </c>
      <c r="G48" s="15">
        <v>7.5200000000000003E-2</v>
      </c>
    </row>
    <row r="49" spans="1:7" x14ac:dyDescent="0.35">
      <c r="A49" s="12" t="s">
        <v>277</v>
      </c>
      <c r="B49" s="30" t="s">
        <v>278</v>
      </c>
      <c r="C49" s="30" t="s">
        <v>148</v>
      </c>
      <c r="D49" s="13">
        <v>2500000</v>
      </c>
      <c r="E49" s="14">
        <v>2396.67</v>
      </c>
      <c r="F49" s="15">
        <v>2.3999999999999998E-3</v>
      </c>
      <c r="G49" s="15">
        <v>7.5450000000000003E-2</v>
      </c>
    </row>
    <row r="50" spans="1:7" x14ac:dyDescent="0.35">
      <c r="A50" s="12" t="s">
        <v>279</v>
      </c>
      <c r="B50" s="30" t="s">
        <v>280</v>
      </c>
      <c r="C50" s="30" t="s">
        <v>141</v>
      </c>
      <c r="D50" s="13">
        <v>1998000</v>
      </c>
      <c r="E50" s="14">
        <v>2000.75</v>
      </c>
      <c r="F50" s="15">
        <v>2E-3</v>
      </c>
      <c r="G50" s="15">
        <v>7.4099999999999999E-2</v>
      </c>
    </row>
    <row r="51" spans="1:7" x14ac:dyDescent="0.35">
      <c r="A51" s="12" t="s">
        <v>281</v>
      </c>
      <c r="B51" s="30" t="s">
        <v>282</v>
      </c>
      <c r="C51" s="30" t="s">
        <v>141</v>
      </c>
      <c r="D51" s="13">
        <v>1650000</v>
      </c>
      <c r="E51" s="14">
        <v>1697.89</v>
      </c>
      <c r="F51" s="15">
        <v>1.6999999999999999E-3</v>
      </c>
      <c r="G51" s="15">
        <v>7.5499999999999998E-2</v>
      </c>
    </row>
    <row r="52" spans="1:7" x14ac:dyDescent="0.35">
      <c r="A52" s="12" t="s">
        <v>283</v>
      </c>
      <c r="B52" s="30" t="s">
        <v>284</v>
      </c>
      <c r="C52" s="30" t="s">
        <v>141</v>
      </c>
      <c r="D52" s="13">
        <v>1500000</v>
      </c>
      <c r="E52" s="14">
        <v>1544.82</v>
      </c>
      <c r="F52" s="15">
        <v>1.5E-3</v>
      </c>
      <c r="G52" s="15">
        <v>7.4096999999999996E-2</v>
      </c>
    </row>
    <row r="53" spans="1:7" x14ac:dyDescent="0.35">
      <c r="A53" s="12" t="s">
        <v>285</v>
      </c>
      <c r="B53" s="30" t="s">
        <v>286</v>
      </c>
      <c r="C53" s="30" t="s">
        <v>141</v>
      </c>
      <c r="D53" s="13">
        <v>1500000</v>
      </c>
      <c r="E53" s="14">
        <v>1520.28</v>
      </c>
      <c r="F53" s="15">
        <v>1.5E-3</v>
      </c>
      <c r="G53" s="15">
        <v>7.4099999999999999E-2</v>
      </c>
    </row>
    <row r="54" spans="1:7" x14ac:dyDescent="0.35">
      <c r="A54" s="12" t="s">
        <v>287</v>
      </c>
      <c r="B54" s="30" t="s">
        <v>288</v>
      </c>
      <c r="C54" s="30" t="s">
        <v>141</v>
      </c>
      <c r="D54" s="13">
        <v>1470000</v>
      </c>
      <c r="E54" s="14">
        <v>1505.32</v>
      </c>
      <c r="F54" s="15">
        <v>1.5E-3</v>
      </c>
      <c r="G54" s="15">
        <v>7.5499999999999998E-2</v>
      </c>
    </row>
    <row r="55" spans="1:7" x14ac:dyDescent="0.35">
      <c r="A55" s="12" t="s">
        <v>289</v>
      </c>
      <c r="B55" s="30" t="s">
        <v>290</v>
      </c>
      <c r="C55" s="30" t="s">
        <v>141</v>
      </c>
      <c r="D55" s="13">
        <v>1000000</v>
      </c>
      <c r="E55" s="14">
        <v>1026.78</v>
      </c>
      <c r="F55" s="15">
        <v>1E-3</v>
      </c>
      <c r="G55" s="15">
        <v>7.4099999999999999E-2</v>
      </c>
    </row>
    <row r="56" spans="1:7" x14ac:dyDescent="0.35">
      <c r="A56" s="12" t="s">
        <v>291</v>
      </c>
      <c r="B56" s="30" t="s">
        <v>292</v>
      </c>
      <c r="C56" s="30" t="s">
        <v>141</v>
      </c>
      <c r="D56" s="13">
        <v>500000</v>
      </c>
      <c r="E56" s="14">
        <v>517.66</v>
      </c>
      <c r="F56" s="15">
        <v>5.0000000000000001E-4</v>
      </c>
      <c r="G56" s="15">
        <v>7.4249999999999997E-2</v>
      </c>
    </row>
    <row r="57" spans="1:7" x14ac:dyDescent="0.35">
      <c r="A57" s="12" t="s">
        <v>293</v>
      </c>
      <c r="B57" s="30" t="s">
        <v>294</v>
      </c>
      <c r="C57" s="30" t="s">
        <v>141</v>
      </c>
      <c r="D57" s="13">
        <v>500000</v>
      </c>
      <c r="E57" s="14">
        <v>515.54999999999995</v>
      </c>
      <c r="F57" s="15">
        <v>5.0000000000000001E-4</v>
      </c>
      <c r="G57" s="15">
        <v>7.4092000000000005E-2</v>
      </c>
    </row>
    <row r="58" spans="1:7" x14ac:dyDescent="0.35">
      <c r="A58" s="12" t="s">
        <v>295</v>
      </c>
      <c r="B58" s="30" t="s">
        <v>296</v>
      </c>
      <c r="C58" s="30" t="s">
        <v>141</v>
      </c>
      <c r="D58" s="13">
        <v>500000</v>
      </c>
      <c r="E58" s="14">
        <v>514.84</v>
      </c>
      <c r="F58" s="15">
        <v>5.0000000000000001E-4</v>
      </c>
      <c r="G58" s="15">
        <v>7.4091000000000004E-2</v>
      </c>
    </row>
    <row r="59" spans="1:7" x14ac:dyDescent="0.35">
      <c r="A59" s="12" t="s">
        <v>297</v>
      </c>
      <c r="B59" s="30" t="s">
        <v>298</v>
      </c>
      <c r="C59" s="30" t="s">
        <v>141</v>
      </c>
      <c r="D59" s="13">
        <v>500000</v>
      </c>
      <c r="E59" s="14">
        <v>506.91</v>
      </c>
      <c r="F59" s="15">
        <v>5.0000000000000001E-4</v>
      </c>
      <c r="G59" s="15">
        <v>7.4550000000000005E-2</v>
      </c>
    </row>
    <row r="60" spans="1:7" x14ac:dyDescent="0.35">
      <c r="A60" s="12" t="s">
        <v>299</v>
      </c>
      <c r="B60" s="30" t="s">
        <v>300</v>
      </c>
      <c r="C60" s="30" t="s">
        <v>141</v>
      </c>
      <c r="D60" s="13">
        <v>500000</v>
      </c>
      <c r="E60" s="14">
        <v>503.62</v>
      </c>
      <c r="F60" s="15">
        <v>5.0000000000000001E-4</v>
      </c>
      <c r="G60" s="15">
        <v>7.5499999999999998E-2</v>
      </c>
    </row>
    <row r="61" spans="1:7" x14ac:dyDescent="0.35">
      <c r="A61" s="16" t="s">
        <v>102</v>
      </c>
      <c r="B61" s="31"/>
      <c r="C61" s="31"/>
      <c r="D61" s="17"/>
      <c r="E61" s="18">
        <v>973790.02</v>
      </c>
      <c r="F61" s="19">
        <v>0.96870000000000001</v>
      </c>
      <c r="G61" s="20"/>
    </row>
    <row r="62" spans="1:7" x14ac:dyDescent="0.35">
      <c r="A62" s="12"/>
      <c r="B62" s="30"/>
      <c r="C62" s="30"/>
      <c r="D62" s="13"/>
      <c r="E62" s="14"/>
      <c r="F62" s="15"/>
      <c r="G62" s="15"/>
    </row>
    <row r="63" spans="1:7" x14ac:dyDescent="0.35">
      <c r="A63" s="16" t="s">
        <v>192</v>
      </c>
      <c r="B63" s="30"/>
      <c r="C63" s="30"/>
      <c r="D63" s="13"/>
      <c r="E63" s="14"/>
      <c r="F63" s="15"/>
      <c r="G63" s="15"/>
    </row>
    <row r="64" spans="1:7" x14ac:dyDescent="0.35">
      <c r="A64" s="16" t="s">
        <v>102</v>
      </c>
      <c r="B64" s="30"/>
      <c r="C64" s="30"/>
      <c r="D64" s="13"/>
      <c r="E64" s="35" t="s">
        <v>96</v>
      </c>
      <c r="F64" s="36" t="s">
        <v>96</v>
      </c>
      <c r="G64" s="15"/>
    </row>
    <row r="65" spans="1:7" x14ac:dyDescent="0.35">
      <c r="A65" s="12"/>
      <c r="B65" s="30"/>
      <c r="C65" s="30"/>
      <c r="D65" s="13"/>
      <c r="E65" s="14"/>
      <c r="F65" s="15"/>
      <c r="G65" s="15"/>
    </row>
    <row r="66" spans="1:7" x14ac:dyDescent="0.35">
      <c r="A66" s="16" t="s">
        <v>193</v>
      </c>
      <c r="B66" s="30"/>
      <c r="C66" s="30"/>
      <c r="D66" s="13"/>
      <c r="E66" s="14"/>
      <c r="F66" s="15"/>
      <c r="G66" s="15"/>
    </row>
    <row r="67" spans="1:7" x14ac:dyDescent="0.35">
      <c r="A67" s="16" t="s">
        <v>102</v>
      </c>
      <c r="B67" s="30"/>
      <c r="C67" s="30"/>
      <c r="D67" s="13"/>
      <c r="E67" s="35" t="s">
        <v>96</v>
      </c>
      <c r="F67" s="36" t="s">
        <v>96</v>
      </c>
      <c r="G67" s="15"/>
    </row>
    <row r="68" spans="1:7" x14ac:dyDescent="0.35">
      <c r="A68" s="12"/>
      <c r="B68" s="30"/>
      <c r="C68" s="30"/>
      <c r="D68" s="13"/>
      <c r="E68" s="14"/>
      <c r="F68" s="15"/>
      <c r="G68" s="15"/>
    </row>
    <row r="69" spans="1:7" x14ac:dyDescent="0.35">
      <c r="A69" s="21" t="s">
        <v>129</v>
      </c>
      <c r="B69" s="32"/>
      <c r="C69" s="32"/>
      <c r="D69" s="22"/>
      <c r="E69" s="18">
        <v>973790.02</v>
      </c>
      <c r="F69" s="19">
        <v>0.96870000000000001</v>
      </c>
      <c r="G69" s="20"/>
    </row>
    <row r="70" spans="1:7" x14ac:dyDescent="0.35">
      <c r="A70" s="12"/>
      <c r="B70" s="30"/>
      <c r="C70" s="30"/>
      <c r="D70" s="13"/>
      <c r="E70" s="14"/>
      <c r="F70" s="15"/>
      <c r="G70" s="15"/>
    </row>
    <row r="71" spans="1:7" x14ac:dyDescent="0.35">
      <c r="A71" s="12"/>
      <c r="B71" s="30"/>
      <c r="C71" s="30"/>
      <c r="D71" s="13"/>
      <c r="E71" s="14"/>
      <c r="F71" s="15"/>
      <c r="G71" s="15"/>
    </row>
    <row r="72" spans="1:7" x14ac:dyDescent="0.35">
      <c r="A72" s="16" t="s">
        <v>130</v>
      </c>
      <c r="B72" s="30"/>
      <c r="C72" s="30"/>
      <c r="D72" s="13"/>
      <c r="E72" s="14"/>
      <c r="F72" s="15"/>
      <c r="G72" s="15"/>
    </row>
    <row r="73" spans="1:7" x14ac:dyDescent="0.35">
      <c r="A73" s="12" t="s">
        <v>131</v>
      </c>
      <c r="B73" s="30"/>
      <c r="C73" s="30"/>
      <c r="D73" s="13"/>
      <c r="E73" s="14">
        <v>6160.97</v>
      </c>
      <c r="F73" s="15">
        <v>6.1000000000000004E-3</v>
      </c>
      <c r="G73" s="55">
        <v>6.1074000000000003E-2</v>
      </c>
    </row>
    <row r="74" spans="1:7" x14ac:dyDescent="0.35">
      <c r="A74" s="16" t="s">
        <v>102</v>
      </c>
      <c r="B74" s="31"/>
      <c r="C74" s="31"/>
      <c r="D74" s="17"/>
      <c r="E74" s="18">
        <v>6160.97</v>
      </c>
      <c r="F74" s="19">
        <v>6.1000000000000004E-3</v>
      </c>
      <c r="G74" s="56"/>
    </row>
    <row r="75" spans="1:7" x14ac:dyDescent="0.35">
      <c r="A75" s="12"/>
      <c r="B75" s="30"/>
      <c r="C75" s="30"/>
      <c r="D75" s="13"/>
      <c r="E75" s="14"/>
      <c r="F75" s="15"/>
      <c r="G75" s="55"/>
    </row>
    <row r="76" spans="1:7" x14ac:dyDescent="0.35">
      <c r="A76" s="21" t="s">
        <v>129</v>
      </c>
      <c r="B76" s="32"/>
      <c r="C76" s="32"/>
      <c r="D76" s="22"/>
      <c r="E76" s="18">
        <v>6160.97</v>
      </c>
      <c r="F76" s="19">
        <v>6.1000000000000004E-3</v>
      </c>
      <c r="G76" s="56"/>
    </row>
    <row r="77" spans="1:7" x14ac:dyDescent="0.35">
      <c r="A77" s="12" t="s">
        <v>132</v>
      </c>
      <c r="B77" s="30"/>
      <c r="C77" s="30"/>
      <c r="D77" s="13"/>
      <c r="E77" s="14">
        <v>29557.760072100002</v>
      </c>
      <c r="F77" s="15">
        <v>2.9409000000000001E-2</v>
      </c>
      <c r="G77" s="55"/>
    </row>
    <row r="78" spans="1:7" x14ac:dyDescent="0.35">
      <c r="A78" s="12" t="s">
        <v>133</v>
      </c>
      <c r="B78" s="30"/>
      <c r="C78" s="30"/>
      <c r="D78" s="13"/>
      <c r="E78" s="23">
        <v>-4471.2100720999997</v>
      </c>
      <c r="F78" s="24">
        <v>-4.2090000000000001E-3</v>
      </c>
      <c r="G78" s="55">
        <v>6.1074000000000003E-2</v>
      </c>
    </row>
    <row r="79" spans="1:7" x14ac:dyDescent="0.35">
      <c r="A79" s="25" t="s">
        <v>134</v>
      </c>
      <c r="B79" s="33"/>
      <c r="C79" s="33"/>
      <c r="D79" s="26"/>
      <c r="E79" s="27">
        <v>1005037.54</v>
      </c>
      <c r="F79" s="28">
        <v>1</v>
      </c>
      <c r="G79" s="28"/>
    </row>
    <row r="81" spans="1:7" x14ac:dyDescent="0.35">
      <c r="A81" s="1" t="s">
        <v>136</v>
      </c>
    </row>
    <row r="84" spans="1:7" x14ac:dyDescent="0.35">
      <c r="A84" s="1" t="s">
        <v>1981</v>
      </c>
    </row>
    <row r="85" spans="1:7" x14ac:dyDescent="0.35">
      <c r="A85" s="47" t="s">
        <v>1982</v>
      </c>
      <c r="B85" s="34" t="s">
        <v>96</v>
      </c>
    </row>
    <row r="86" spans="1:7" x14ac:dyDescent="0.35">
      <c r="A86" t="s">
        <v>1983</v>
      </c>
    </row>
    <row r="87" spans="1:7" x14ac:dyDescent="0.35">
      <c r="A87" t="s">
        <v>2007</v>
      </c>
      <c r="B87" t="s">
        <v>1985</v>
      </c>
      <c r="C87" t="s">
        <v>1985</v>
      </c>
    </row>
    <row r="88" spans="1:7" x14ac:dyDescent="0.35">
      <c r="B88" s="48">
        <v>44834</v>
      </c>
      <c r="C88" s="48">
        <v>44865</v>
      </c>
    </row>
    <row r="89" spans="1:7" x14ac:dyDescent="0.35">
      <c r="A89" t="s">
        <v>2008</v>
      </c>
      <c r="B89">
        <v>1078.3791000000001</v>
      </c>
      <c r="C89">
        <v>1082.7518</v>
      </c>
      <c r="E89" s="2"/>
      <c r="G89"/>
    </row>
    <row r="90" spans="1:7" x14ac:dyDescent="0.35">
      <c r="E90" s="2"/>
      <c r="G90"/>
    </row>
    <row r="91" spans="1:7" x14ac:dyDescent="0.35">
      <c r="A91" t="s">
        <v>2000</v>
      </c>
      <c r="B91" s="34" t="s">
        <v>96</v>
      </c>
    </row>
    <row r="92" spans="1:7" x14ac:dyDescent="0.35">
      <c r="A92" t="s">
        <v>2001</v>
      </c>
      <c r="B92" s="34" t="s">
        <v>96</v>
      </c>
    </row>
    <row r="93" spans="1:7" ht="29" x14ac:dyDescent="0.35">
      <c r="A93" s="47" t="s">
        <v>2002</v>
      </c>
      <c r="B93" s="34" t="s">
        <v>96</v>
      </c>
    </row>
    <row r="94" spans="1:7" ht="29" x14ac:dyDescent="0.35">
      <c r="A94" s="47" t="s">
        <v>2003</v>
      </c>
      <c r="B94" s="34" t="s">
        <v>96</v>
      </c>
    </row>
    <row r="95" spans="1:7" x14ac:dyDescent="0.35">
      <c r="A95" t="s">
        <v>2004</v>
      </c>
      <c r="B95" s="49">
        <v>2.31380260476366</v>
      </c>
    </row>
    <row r="96" spans="1:7" ht="43.5" x14ac:dyDescent="0.35">
      <c r="A96" s="47" t="s">
        <v>2005</v>
      </c>
      <c r="B96" s="34" t="s">
        <v>96</v>
      </c>
    </row>
    <row r="97" spans="1:4" ht="29" x14ac:dyDescent="0.35">
      <c r="A97" s="47" t="s">
        <v>2006</v>
      </c>
      <c r="B97" s="34" t="s">
        <v>96</v>
      </c>
    </row>
    <row r="98" spans="1:4" ht="29" x14ac:dyDescent="0.35">
      <c r="A98" s="47" t="s">
        <v>2009</v>
      </c>
      <c r="B98" s="49">
        <f>EDFF25!E11</f>
        <v>394173.32</v>
      </c>
    </row>
    <row r="99" spans="1:4" ht="29" x14ac:dyDescent="0.35">
      <c r="A99" s="47" t="s">
        <v>2135</v>
      </c>
      <c r="B99" s="34" t="s">
        <v>96</v>
      </c>
    </row>
    <row r="100" spans="1:4" ht="29" x14ac:dyDescent="0.35">
      <c r="A100" s="47" t="s">
        <v>2136</v>
      </c>
      <c r="B100" s="34" t="s">
        <v>96</v>
      </c>
    </row>
    <row r="103" spans="1:4" ht="29" x14ac:dyDescent="0.35">
      <c r="A103" s="166" t="s">
        <v>2154</v>
      </c>
      <c r="B103" s="167" t="s">
        <v>2155</v>
      </c>
      <c r="C103" s="167" t="s">
        <v>2156</v>
      </c>
      <c r="D103" s="171" t="s">
        <v>2157</v>
      </c>
    </row>
    <row r="104" spans="1:4" ht="66.5" customHeight="1" x14ac:dyDescent="0.35">
      <c r="A104" s="170" t="s">
        <v>2163</v>
      </c>
      <c r="B104" s="169"/>
      <c r="C104" s="168" t="s">
        <v>2164</v>
      </c>
      <c r="D104" s="169"/>
    </row>
  </sheetData>
  <mergeCells count="2">
    <mergeCell ref="A1:G1"/>
    <mergeCell ref="A2:G2"/>
  </mergeCells>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074A5-4C06-448D-B4F0-DEBB93363BA1}">
  <dimension ref="A1:H110"/>
  <sheetViews>
    <sheetView showGridLines="0" workbookViewId="0">
      <pane ySplit="4" topLeftCell="A110" activePane="bottomLeft" state="frozen"/>
      <selection activeCell="A2" sqref="A2:XFD2"/>
      <selection pane="bottomLeft" activeCell="A117" sqref="A117"/>
    </sheetView>
  </sheetViews>
  <sheetFormatPr defaultRowHeight="14.5" x14ac:dyDescent="0.35"/>
  <cols>
    <col min="1" max="1" width="50.453125" customWidth="1"/>
    <col min="2" max="2" width="24.453125" customWidth="1"/>
    <col min="3" max="3" width="26.6328125" customWidth="1"/>
    <col min="4" max="4" width="22.089843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13</v>
      </c>
      <c r="B1" s="151"/>
      <c r="C1" s="151"/>
      <c r="D1" s="151"/>
      <c r="E1" s="151"/>
      <c r="F1" s="151"/>
      <c r="G1" s="151"/>
      <c r="H1" s="50" t="str">
        <f>HYPERLINK("[EDEL_Portfolio Monthly Notes 31-Oct-2022.xlsx]Index!A1","Index")</f>
        <v>Index</v>
      </c>
    </row>
    <row r="2" spans="1:8" ht="31" customHeight="1" x14ac:dyDescent="0.35">
      <c r="A2" s="151" t="s">
        <v>14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301</v>
      </c>
      <c r="B11" s="30" t="s">
        <v>302</v>
      </c>
      <c r="C11" s="30" t="s">
        <v>141</v>
      </c>
      <c r="D11" s="13">
        <v>97500000</v>
      </c>
      <c r="E11" s="14">
        <v>94001.02</v>
      </c>
      <c r="F11" s="15">
        <v>6.4699999999999994E-2</v>
      </c>
      <c r="G11" s="15">
        <v>7.6724000000000001E-2</v>
      </c>
    </row>
    <row r="12" spans="1:8" x14ac:dyDescent="0.35">
      <c r="A12" s="12" t="s">
        <v>303</v>
      </c>
      <c r="B12" s="30" t="s">
        <v>304</v>
      </c>
      <c r="C12" s="30" t="s">
        <v>141</v>
      </c>
      <c r="D12" s="13">
        <v>89500000</v>
      </c>
      <c r="E12" s="14">
        <v>88179.34</v>
      </c>
      <c r="F12" s="15">
        <v>6.0600000000000001E-2</v>
      </c>
      <c r="G12" s="15">
        <v>7.6700000000000004E-2</v>
      </c>
    </row>
    <row r="13" spans="1:8" x14ac:dyDescent="0.35">
      <c r="A13" s="12" t="s">
        <v>305</v>
      </c>
      <c r="B13" s="30" t="s">
        <v>306</v>
      </c>
      <c r="C13" s="30" t="s">
        <v>141</v>
      </c>
      <c r="D13" s="13">
        <v>81000000</v>
      </c>
      <c r="E13" s="14">
        <v>81900.149999999994</v>
      </c>
      <c r="F13" s="15">
        <v>5.6300000000000003E-2</v>
      </c>
      <c r="G13" s="15">
        <v>7.6749999999999999E-2</v>
      </c>
    </row>
    <row r="14" spans="1:8" x14ac:dyDescent="0.35">
      <c r="A14" s="12" t="s">
        <v>307</v>
      </c>
      <c r="B14" s="30" t="s">
        <v>308</v>
      </c>
      <c r="C14" s="30" t="s">
        <v>148</v>
      </c>
      <c r="D14" s="13">
        <v>83000000</v>
      </c>
      <c r="E14" s="14">
        <v>81548.990000000005</v>
      </c>
      <c r="F14" s="15">
        <v>5.6099999999999997E-2</v>
      </c>
      <c r="G14" s="15">
        <v>7.6550000000000007E-2</v>
      </c>
    </row>
    <row r="15" spans="1:8" x14ac:dyDescent="0.35">
      <c r="A15" s="12" t="s">
        <v>309</v>
      </c>
      <c r="B15" s="30" t="s">
        <v>310</v>
      </c>
      <c r="C15" s="30" t="s">
        <v>141</v>
      </c>
      <c r="D15" s="13">
        <v>80500000</v>
      </c>
      <c r="E15" s="14">
        <v>80188.95</v>
      </c>
      <c r="F15" s="15">
        <v>5.5199999999999999E-2</v>
      </c>
      <c r="G15" s="15">
        <v>7.6249999999999998E-2</v>
      </c>
    </row>
    <row r="16" spans="1:8" x14ac:dyDescent="0.35">
      <c r="A16" s="12" t="s">
        <v>311</v>
      </c>
      <c r="B16" s="30" t="s">
        <v>312</v>
      </c>
      <c r="C16" s="30" t="s">
        <v>141</v>
      </c>
      <c r="D16" s="13">
        <v>75000000</v>
      </c>
      <c r="E16" s="14">
        <v>75773.48</v>
      </c>
      <c r="F16" s="15">
        <v>5.21E-2</v>
      </c>
      <c r="G16" s="15">
        <v>7.6700000000000004E-2</v>
      </c>
    </row>
    <row r="17" spans="1:7" x14ac:dyDescent="0.35">
      <c r="A17" s="12" t="s">
        <v>313</v>
      </c>
      <c r="B17" s="30" t="s">
        <v>314</v>
      </c>
      <c r="C17" s="30" t="s">
        <v>141</v>
      </c>
      <c r="D17" s="13">
        <v>73000000</v>
      </c>
      <c r="E17" s="14">
        <v>72510.17</v>
      </c>
      <c r="F17" s="15">
        <v>4.99E-2</v>
      </c>
      <c r="G17" s="15">
        <v>7.6550000000000007E-2</v>
      </c>
    </row>
    <row r="18" spans="1:7" x14ac:dyDescent="0.35">
      <c r="A18" s="12" t="s">
        <v>315</v>
      </c>
      <c r="B18" s="30" t="s">
        <v>316</v>
      </c>
      <c r="C18" s="30" t="s">
        <v>141</v>
      </c>
      <c r="D18" s="13">
        <v>61500000</v>
      </c>
      <c r="E18" s="14">
        <v>60508.07</v>
      </c>
      <c r="F18" s="15">
        <v>4.1599999999999998E-2</v>
      </c>
      <c r="G18" s="15">
        <v>7.6897999999999994E-2</v>
      </c>
    </row>
    <row r="19" spans="1:7" x14ac:dyDescent="0.35">
      <c r="A19" s="12" t="s">
        <v>317</v>
      </c>
      <c r="B19" s="30" t="s">
        <v>318</v>
      </c>
      <c r="C19" s="30" t="s">
        <v>141</v>
      </c>
      <c r="D19" s="13">
        <v>54500000</v>
      </c>
      <c r="E19" s="14">
        <v>54652.160000000003</v>
      </c>
      <c r="F19" s="15">
        <v>3.7600000000000001E-2</v>
      </c>
      <c r="G19" s="15">
        <v>7.6399999999999996E-2</v>
      </c>
    </row>
    <row r="20" spans="1:7" x14ac:dyDescent="0.35">
      <c r="A20" s="12" t="s">
        <v>319</v>
      </c>
      <c r="B20" s="30" t="s">
        <v>320</v>
      </c>
      <c r="C20" s="30" t="s">
        <v>321</v>
      </c>
      <c r="D20" s="13">
        <v>48000000</v>
      </c>
      <c r="E20" s="14">
        <v>47378.879999999997</v>
      </c>
      <c r="F20" s="15">
        <v>3.2599999999999997E-2</v>
      </c>
      <c r="G20" s="15">
        <v>7.6550000000000007E-2</v>
      </c>
    </row>
    <row r="21" spans="1:7" x14ac:dyDescent="0.35">
      <c r="A21" s="12" t="s">
        <v>322</v>
      </c>
      <c r="B21" s="30" t="s">
        <v>323</v>
      </c>
      <c r="C21" s="30" t="s">
        <v>141</v>
      </c>
      <c r="D21" s="13">
        <v>41200000</v>
      </c>
      <c r="E21" s="14">
        <v>40781.86</v>
      </c>
      <c r="F21" s="15">
        <v>2.8000000000000001E-2</v>
      </c>
      <c r="G21" s="15">
        <v>7.6749999999999999E-2</v>
      </c>
    </row>
    <row r="22" spans="1:7" x14ac:dyDescent="0.35">
      <c r="A22" s="12" t="s">
        <v>324</v>
      </c>
      <c r="B22" s="30" t="s">
        <v>325</v>
      </c>
      <c r="C22" s="30" t="s">
        <v>141</v>
      </c>
      <c r="D22" s="13">
        <v>39500000</v>
      </c>
      <c r="E22" s="14">
        <v>38933.33</v>
      </c>
      <c r="F22" s="15">
        <v>2.6800000000000001E-2</v>
      </c>
      <c r="G22" s="15">
        <v>7.5899999999999995E-2</v>
      </c>
    </row>
    <row r="23" spans="1:7" x14ac:dyDescent="0.35">
      <c r="A23" s="12" t="s">
        <v>326</v>
      </c>
      <c r="B23" s="30" t="s">
        <v>327</v>
      </c>
      <c r="C23" s="30" t="s">
        <v>141</v>
      </c>
      <c r="D23" s="13">
        <v>39200000</v>
      </c>
      <c r="E23" s="14">
        <v>38878.480000000003</v>
      </c>
      <c r="F23" s="15">
        <v>2.6700000000000002E-2</v>
      </c>
      <c r="G23" s="15">
        <v>7.6399999999999996E-2</v>
      </c>
    </row>
    <row r="24" spans="1:7" x14ac:dyDescent="0.35">
      <c r="A24" s="12" t="s">
        <v>328</v>
      </c>
      <c r="B24" s="30" t="s">
        <v>329</v>
      </c>
      <c r="C24" s="30" t="s">
        <v>141</v>
      </c>
      <c r="D24" s="13">
        <v>38500000</v>
      </c>
      <c r="E24" s="14">
        <v>38604.6</v>
      </c>
      <c r="F24" s="15">
        <v>2.6599999999999999E-2</v>
      </c>
      <c r="G24" s="15">
        <v>7.6897999999999994E-2</v>
      </c>
    </row>
    <row r="25" spans="1:7" x14ac:dyDescent="0.35">
      <c r="A25" s="12" t="s">
        <v>330</v>
      </c>
      <c r="B25" s="30" t="s">
        <v>331</v>
      </c>
      <c r="C25" s="30" t="s">
        <v>141</v>
      </c>
      <c r="D25" s="13">
        <v>37500000</v>
      </c>
      <c r="E25" s="14">
        <v>36946.949999999997</v>
      </c>
      <c r="F25" s="15">
        <v>2.5399999999999999E-2</v>
      </c>
      <c r="G25" s="15">
        <v>7.6450000000000004E-2</v>
      </c>
    </row>
    <row r="26" spans="1:7" x14ac:dyDescent="0.35">
      <c r="A26" s="12" t="s">
        <v>332</v>
      </c>
      <c r="B26" s="30" t="s">
        <v>333</v>
      </c>
      <c r="C26" s="30" t="s">
        <v>141</v>
      </c>
      <c r="D26" s="13">
        <v>35500000</v>
      </c>
      <c r="E26" s="14">
        <v>34452.25</v>
      </c>
      <c r="F26" s="15">
        <v>2.3699999999999999E-2</v>
      </c>
      <c r="G26" s="15">
        <v>7.6249999999999998E-2</v>
      </c>
    </row>
    <row r="27" spans="1:7" x14ac:dyDescent="0.35">
      <c r="A27" s="12" t="s">
        <v>334</v>
      </c>
      <c r="B27" s="30" t="s">
        <v>335</v>
      </c>
      <c r="C27" s="30" t="s">
        <v>141</v>
      </c>
      <c r="D27" s="13">
        <v>27500000</v>
      </c>
      <c r="E27" s="14">
        <v>27390.28</v>
      </c>
      <c r="F27" s="15">
        <v>1.8800000000000001E-2</v>
      </c>
      <c r="G27" s="15">
        <v>7.6249999999999998E-2</v>
      </c>
    </row>
    <row r="28" spans="1:7" x14ac:dyDescent="0.35">
      <c r="A28" s="12" t="s">
        <v>336</v>
      </c>
      <c r="B28" s="30" t="s">
        <v>337</v>
      </c>
      <c r="C28" s="30" t="s">
        <v>141</v>
      </c>
      <c r="D28" s="13">
        <v>27000000</v>
      </c>
      <c r="E28" s="14">
        <v>26790.02</v>
      </c>
      <c r="F28" s="15">
        <v>1.84E-2</v>
      </c>
      <c r="G28" s="15">
        <v>7.6249999999999998E-2</v>
      </c>
    </row>
    <row r="29" spans="1:7" x14ac:dyDescent="0.35">
      <c r="A29" s="12" t="s">
        <v>338</v>
      </c>
      <c r="B29" s="30" t="s">
        <v>339</v>
      </c>
      <c r="C29" s="30" t="s">
        <v>340</v>
      </c>
      <c r="D29" s="13">
        <v>24000000</v>
      </c>
      <c r="E29" s="14">
        <v>23954.81</v>
      </c>
      <c r="F29" s="15">
        <v>1.6500000000000001E-2</v>
      </c>
      <c r="G29" s="15">
        <v>7.6700000000000004E-2</v>
      </c>
    </row>
    <row r="30" spans="1:7" x14ac:dyDescent="0.35">
      <c r="A30" s="12" t="s">
        <v>341</v>
      </c>
      <c r="B30" s="30" t="s">
        <v>342</v>
      </c>
      <c r="C30" s="30" t="s">
        <v>157</v>
      </c>
      <c r="D30" s="13">
        <v>19500000</v>
      </c>
      <c r="E30" s="14">
        <v>20098.12</v>
      </c>
      <c r="F30" s="15">
        <v>1.38E-2</v>
      </c>
      <c r="G30" s="15">
        <v>7.6503000000000002E-2</v>
      </c>
    </row>
    <row r="31" spans="1:7" x14ac:dyDescent="0.35">
      <c r="A31" s="12" t="s">
        <v>343</v>
      </c>
      <c r="B31" s="30" t="s">
        <v>344</v>
      </c>
      <c r="C31" s="30" t="s">
        <v>148</v>
      </c>
      <c r="D31" s="13">
        <v>20000000</v>
      </c>
      <c r="E31" s="14">
        <v>19885.72</v>
      </c>
      <c r="F31" s="15">
        <v>1.37E-2</v>
      </c>
      <c r="G31" s="15">
        <v>7.6676999999999995E-2</v>
      </c>
    </row>
    <row r="32" spans="1:7" x14ac:dyDescent="0.35">
      <c r="A32" s="12" t="s">
        <v>345</v>
      </c>
      <c r="B32" s="30" t="s">
        <v>346</v>
      </c>
      <c r="C32" s="30" t="s">
        <v>141</v>
      </c>
      <c r="D32" s="13">
        <v>18150000</v>
      </c>
      <c r="E32" s="14">
        <v>19189.900000000001</v>
      </c>
      <c r="F32" s="15">
        <v>1.32E-2</v>
      </c>
      <c r="G32" s="15">
        <v>7.6749999999999999E-2</v>
      </c>
    </row>
    <row r="33" spans="1:7" x14ac:dyDescent="0.35">
      <c r="A33" s="12" t="s">
        <v>347</v>
      </c>
      <c r="B33" s="30" t="s">
        <v>348</v>
      </c>
      <c r="C33" s="30" t="s">
        <v>141</v>
      </c>
      <c r="D33" s="13">
        <v>16500000</v>
      </c>
      <c r="E33" s="14">
        <v>17010.2</v>
      </c>
      <c r="F33" s="15">
        <v>1.17E-2</v>
      </c>
      <c r="G33" s="15">
        <v>7.6749999999999999E-2</v>
      </c>
    </row>
    <row r="34" spans="1:7" x14ac:dyDescent="0.35">
      <c r="A34" s="12" t="s">
        <v>349</v>
      </c>
      <c r="B34" s="30" t="s">
        <v>350</v>
      </c>
      <c r="C34" s="30" t="s">
        <v>141</v>
      </c>
      <c r="D34" s="13">
        <v>14500000</v>
      </c>
      <c r="E34" s="14">
        <v>15011.66</v>
      </c>
      <c r="F34" s="15">
        <v>1.03E-2</v>
      </c>
      <c r="G34" s="15">
        <v>7.6399999999999996E-2</v>
      </c>
    </row>
    <row r="35" spans="1:7" x14ac:dyDescent="0.35">
      <c r="A35" s="12" t="s">
        <v>351</v>
      </c>
      <c r="B35" s="30" t="s">
        <v>352</v>
      </c>
      <c r="C35" s="30" t="s">
        <v>141</v>
      </c>
      <c r="D35" s="13">
        <v>14000000</v>
      </c>
      <c r="E35" s="14">
        <v>14584.86</v>
      </c>
      <c r="F35" s="15">
        <v>0.01</v>
      </c>
      <c r="G35" s="15">
        <v>7.6471999999999998E-2</v>
      </c>
    </row>
    <row r="36" spans="1:7" x14ac:dyDescent="0.35">
      <c r="A36" s="12" t="s">
        <v>353</v>
      </c>
      <c r="B36" s="30" t="s">
        <v>354</v>
      </c>
      <c r="C36" s="30" t="s">
        <v>141</v>
      </c>
      <c r="D36" s="13">
        <v>13500000</v>
      </c>
      <c r="E36" s="14">
        <v>13408.63</v>
      </c>
      <c r="F36" s="15">
        <v>9.1999999999999998E-3</v>
      </c>
      <c r="G36" s="15">
        <v>7.6249999999999998E-2</v>
      </c>
    </row>
    <row r="37" spans="1:7" x14ac:dyDescent="0.35">
      <c r="A37" s="12" t="s">
        <v>355</v>
      </c>
      <c r="B37" s="30" t="s">
        <v>356</v>
      </c>
      <c r="C37" s="30" t="s">
        <v>148</v>
      </c>
      <c r="D37" s="13">
        <v>11500000</v>
      </c>
      <c r="E37" s="14">
        <v>11716.34</v>
      </c>
      <c r="F37" s="15">
        <v>8.0999999999999996E-3</v>
      </c>
      <c r="G37" s="15">
        <v>7.6999999999999999E-2</v>
      </c>
    </row>
    <row r="38" spans="1:7" x14ac:dyDescent="0.35">
      <c r="A38" s="12" t="s">
        <v>357</v>
      </c>
      <c r="B38" s="30" t="s">
        <v>358</v>
      </c>
      <c r="C38" s="30" t="s">
        <v>141</v>
      </c>
      <c r="D38" s="13">
        <v>9000000</v>
      </c>
      <c r="E38" s="14">
        <v>8940.32</v>
      </c>
      <c r="F38" s="15">
        <v>6.1000000000000004E-3</v>
      </c>
      <c r="G38" s="15">
        <v>7.6149999999999995E-2</v>
      </c>
    </row>
    <row r="39" spans="1:7" x14ac:dyDescent="0.35">
      <c r="A39" s="12" t="s">
        <v>359</v>
      </c>
      <c r="B39" s="30" t="s">
        <v>360</v>
      </c>
      <c r="C39" s="30" t="s">
        <v>141</v>
      </c>
      <c r="D39" s="13">
        <v>8000000</v>
      </c>
      <c r="E39" s="14">
        <v>8102.07</v>
      </c>
      <c r="F39" s="15">
        <v>5.5999999999999999E-3</v>
      </c>
      <c r="G39" s="15">
        <v>7.6749999999999999E-2</v>
      </c>
    </row>
    <row r="40" spans="1:7" x14ac:dyDescent="0.35">
      <c r="A40" s="12" t="s">
        <v>361</v>
      </c>
      <c r="B40" s="30" t="s">
        <v>362</v>
      </c>
      <c r="C40" s="30" t="s">
        <v>141</v>
      </c>
      <c r="D40" s="13">
        <v>6500000</v>
      </c>
      <c r="E40" s="14">
        <v>6879.11</v>
      </c>
      <c r="F40" s="15">
        <v>4.7000000000000002E-3</v>
      </c>
      <c r="G40" s="15">
        <v>7.6700000000000004E-2</v>
      </c>
    </row>
    <row r="41" spans="1:7" x14ac:dyDescent="0.35">
      <c r="A41" s="12" t="s">
        <v>363</v>
      </c>
      <c r="B41" s="30" t="s">
        <v>364</v>
      </c>
      <c r="C41" s="30" t="s">
        <v>321</v>
      </c>
      <c r="D41" s="13">
        <v>6500000</v>
      </c>
      <c r="E41" s="14">
        <v>6441.17</v>
      </c>
      <c r="F41" s="15">
        <v>4.4000000000000003E-3</v>
      </c>
      <c r="G41" s="15">
        <v>7.6700000000000004E-2</v>
      </c>
    </row>
    <row r="42" spans="1:7" x14ac:dyDescent="0.35">
      <c r="A42" s="12" t="s">
        <v>365</v>
      </c>
      <c r="B42" s="30" t="s">
        <v>366</v>
      </c>
      <c r="C42" s="30" t="s">
        <v>141</v>
      </c>
      <c r="D42" s="13">
        <v>6500000</v>
      </c>
      <c r="E42" s="14">
        <v>6350.97</v>
      </c>
      <c r="F42" s="15">
        <v>4.4000000000000003E-3</v>
      </c>
      <c r="G42" s="15">
        <v>7.6823000000000002E-2</v>
      </c>
    </row>
    <row r="43" spans="1:7" x14ac:dyDescent="0.35">
      <c r="A43" s="12" t="s">
        <v>367</v>
      </c>
      <c r="B43" s="30" t="s">
        <v>368</v>
      </c>
      <c r="C43" s="30" t="s">
        <v>141</v>
      </c>
      <c r="D43" s="13">
        <v>5500000</v>
      </c>
      <c r="E43" s="14">
        <v>5804.37</v>
      </c>
      <c r="F43" s="15">
        <v>4.0000000000000001E-3</v>
      </c>
      <c r="G43" s="15">
        <v>7.6749999999999999E-2</v>
      </c>
    </row>
    <row r="44" spans="1:7" x14ac:dyDescent="0.35">
      <c r="A44" s="12" t="s">
        <v>369</v>
      </c>
      <c r="B44" s="30" t="s">
        <v>370</v>
      </c>
      <c r="C44" s="30" t="s">
        <v>141</v>
      </c>
      <c r="D44" s="13">
        <v>5500000</v>
      </c>
      <c r="E44" s="14">
        <v>5420.41</v>
      </c>
      <c r="F44" s="15">
        <v>3.7000000000000002E-3</v>
      </c>
      <c r="G44" s="15">
        <v>7.6550000000000007E-2</v>
      </c>
    </row>
    <row r="45" spans="1:7" x14ac:dyDescent="0.35">
      <c r="A45" s="12" t="s">
        <v>371</v>
      </c>
      <c r="B45" s="30" t="s">
        <v>372</v>
      </c>
      <c r="C45" s="30" t="s">
        <v>141</v>
      </c>
      <c r="D45" s="13">
        <v>5000000</v>
      </c>
      <c r="E45" s="14">
        <v>5168.18</v>
      </c>
      <c r="F45" s="15">
        <v>3.5999999999999999E-3</v>
      </c>
      <c r="G45" s="15">
        <v>7.5899999999999995E-2</v>
      </c>
    </row>
    <row r="46" spans="1:7" x14ac:dyDescent="0.35">
      <c r="A46" s="12" t="s">
        <v>373</v>
      </c>
      <c r="B46" s="30" t="s">
        <v>374</v>
      </c>
      <c r="C46" s="30" t="s">
        <v>141</v>
      </c>
      <c r="D46" s="13">
        <v>5000000</v>
      </c>
      <c r="E46" s="14">
        <v>5150.62</v>
      </c>
      <c r="F46" s="15">
        <v>3.5000000000000001E-3</v>
      </c>
      <c r="G46" s="15">
        <v>7.6249999999999998E-2</v>
      </c>
    </row>
    <row r="47" spans="1:7" x14ac:dyDescent="0.35">
      <c r="A47" s="12" t="s">
        <v>375</v>
      </c>
      <c r="B47" s="30" t="s">
        <v>376</v>
      </c>
      <c r="C47" s="30" t="s">
        <v>157</v>
      </c>
      <c r="D47" s="13">
        <v>5100000</v>
      </c>
      <c r="E47" s="14">
        <v>4947.8999999999996</v>
      </c>
      <c r="F47" s="15">
        <v>3.3999999999999998E-3</v>
      </c>
      <c r="G47" s="15">
        <v>7.6700000000000004E-2</v>
      </c>
    </row>
    <row r="48" spans="1:7" x14ac:dyDescent="0.35">
      <c r="A48" s="12" t="s">
        <v>377</v>
      </c>
      <c r="B48" s="30" t="s">
        <v>378</v>
      </c>
      <c r="C48" s="30" t="s">
        <v>148</v>
      </c>
      <c r="D48" s="13">
        <v>5000000</v>
      </c>
      <c r="E48" s="14">
        <v>4880.33</v>
      </c>
      <c r="F48" s="15">
        <v>3.3999999999999998E-3</v>
      </c>
      <c r="G48" s="15">
        <v>7.6723E-2</v>
      </c>
    </row>
    <row r="49" spans="1:7" x14ac:dyDescent="0.35">
      <c r="A49" s="12" t="s">
        <v>379</v>
      </c>
      <c r="B49" s="30" t="s">
        <v>380</v>
      </c>
      <c r="C49" s="30" t="s">
        <v>141</v>
      </c>
      <c r="D49" s="13">
        <v>4500000</v>
      </c>
      <c r="E49" s="14">
        <v>4560.88</v>
      </c>
      <c r="F49" s="15">
        <v>3.0999999999999999E-3</v>
      </c>
      <c r="G49" s="15">
        <v>7.6700000000000004E-2</v>
      </c>
    </row>
    <row r="50" spans="1:7" x14ac:dyDescent="0.35">
      <c r="A50" s="12" t="s">
        <v>381</v>
      </c>
      <c r="B50" s="30" t="s">
        <v>382</v>
      </c>
      <c r="C50" s="30" t="s">
        <v>148</v>
      </c>
      <c r="D50" s="13">
        <v>3800000</v>
      </c>
      <c r="E50" s="14">
        <v>3739.4</v>
      </c>
      <c r="F50" s="15">
        <v>2.5999999999999999E-3</v>
      </c>
      <c r="G50" s="15">
        <v>7.6700000000000004E-2</v>
      </c>
    </row>
    <row r="51" spans="1:7" x14ac:dyDescent="0.35">
      <c r="A51" s="12" t="s">
        <v>383</v>
      </c>
      <c r="B51" s="30" t="s">
        <v>384</v>
      </c>
      <c r="C51" s="30" t="s">
        <v>141</v>
      </c>
      <c r="D51" s="13">
        <v>3000000</v>
      </c>
      <c r="E51" s="14">
        <v>3080.81</v>
      </c>
      <c r="F51" s="15">
        <v>2.0999999999999999E-3</v>
      </c>
      <c r="G51" s="15">
        <v>7.6450000000000004E-2</v>
      </c>
    </row>
    <row r="52" spans="1:7" x14ac:dyDescent="0.35">
      <c r="A52" s="12" t="s">
        <v>385</v>
      </c>
      <c r="B52" s="30" t="s">
        <v>386</v>
      </c>
      <c r="C52" s="30" t="s">
        <v>141</v>
      </c>
      <c r="D52" s="13">
        <v>2500000</v>
      </c>
      <c r="E52" s="14">
        <v>2619.6799999999998</v>
      </c>
      <c r="F52" s="15">
        <v>1.8E-3</v>
      </c>
      <c r="G52" s="15">
        <v>7.6666999999999999E-2</v>
      </c>
    </row>
    <row r="53" spans="1:7" x14ac:dyDescent="0.35">
      <c r="A53" s="12" t="s">
        <v>387</v>
      </c>
      <c r="B53" s="30" t="s">
        <v>388</v>
      </c>
      <c r="C53" s="30" t="s">
        <v>141</v>
      </c>
      <c r="D53" s="13">
        <v>2500000</v>
      </c>
      <c r="E53" s="14">
        <v>2585.9499999999998</v>
      </c>
      <c r="F53" s="15">
        <v>1.8E-3</v>
      </c>
      <c r="G53" s="15">
        <v>7.6551999999999995E-2</v>
      </c>
    </row>
    <row r="54" spans="1:7" x14ac:dyDescent="0.35">
      <c r="A54" s="12" t="s">
        <v>389</v>
      </c>
      <c r="B54" s="30" t="s">
        <v>390</v>
      </c>
      <c r="C54" s="30" t="s">
        <v>141</v>
      </c>
      <c r="D54" s="13">
        <v>2000000</v>
      </c>
      <c r="E54" s="14">
        <v>2173.81</v>
      </c>
      <c r="F54" s="15">
        <v>1.5E-3</v>
      </c>
      <c r="G54" s="15">
        <v>7.6149999999999995E-2</v>
      </c>
    </row>
    <row r="55" spans="1:7" x14ac:dyDescent="0.35">
      <c r="A55" s="12" t="s">
        <v>391</v>
      </c>
      <c r="B55" s="30" t="s">
        <v>392</v>
      </c>
      <c r="C55" s="30" t="s">
        <v>141</v>
      </c>
      <c r="D55" s="13">
        <v>2000000</v>
      </c>
      <c r="E55" s="14">
        <v>2031.83</v>
      </c>
      <c r="F55" s="15">
        <v>1.4E-3</v>
      </c>
      <c r="G55" s="15">
        <v>7.6249999999999998E-2</v>
      </c>
    </row>
    <row r="56" spans="1:7" x14ac:dyDescent="0.35">
      <c r="A56" s="12" t="s">
        <v>393</v>
      </c>
      <c r="B56" s="30" t="s">
        <v>394</v>
      </c>
      <c r="C56" s="30" t="s">
        <v>141</v>
      </c>
      <c r="D56" s="13">
        <v>1500000</v>
      </c>
      <c r="E56" s="14">
        <v>1559.37</v>
      </c>
      <c r="F56" s="15">
        <v>1.1000000000000001E-3</v>
      </c>
      <c r="G56" s="15">
        <v>7.5691999999999995E-2</v>
      </c>
    </row>
    <row r="57" spans="1:7" x14ac:dyDescent="0.35">
      <c r="A57" s="12" t="s">
        <v>395</v>
      </c>
      <c r="B57" s="30" t="s">
        <v>396</v>
      </c>
      <c r="C57" s="30" t="s">
        <v>141</v>
      </c>
      <c r="D57" s="13">
        <v>1500000</v>
      </c>
      <c r="E57" s="14">
        <v>1541.34</v>
      </c>
      <c r="F57" s="15">
        <v>1.1000000000000001E-3</v>
      </c>
      <c r="G57" s="15">
        <v>7.6300000000000007E-2</v>
      </c>
    </row>
    <row r="58" spans="1:7" x14ac:dyDescent="0.35">
      <c r="A58" s="12" t="s">
        <v>397</v>
      </c>
      <c r="B58" s="30" t="s">
        <v>398</v>
      </c>
      <c r="C58" s="30" t="s">
        <v>141</v>
      </c>
      <c r="D58" s="13">
        <v>1000000</v>
      </c>
      <c r="E58" s="14">
        <v>985.43</v>
      </c>
      <c r="F58" s="15">
        <v>6.9999999999999999E-4</v>
      </c>
      <c r="G58" s="15">
        <v>7.6149999999999995E-2</v>
      </c>
    </row>
    <row r="59" spans="1:7" x14ac:dyDescent="0.35">
      <c r="A59" s="12" t="s">
        <v>399</v>
      </c>
      <c r="B59" s="30" t="s">
        <v>400</v>
      </c>
      <c r="C59" s="30" t="s">
        <v>148</v>
      </c>
      <c r="D59" s="13">
        <v>1000000</v>
      </c>
      <c r="E59" s="14">
        <v>981.18</v>
      </c>
      <c r="F59" s="15">
        <v>6.9999999999999999E-4</v>
      </c>
      <c r="G59" s="15">
        <v>7.6999999999999999E-2</v>
      </c>
    </row>
    <row r="60" spans="1:7" x14ac:dyDescent="0.35">
      <c r="A60" s="12" t="s">
        <v>401</v>
      </c>
      <c r="B60" s="30" t="s">
        <v>402</v>
      </c>
      <c r="C60" s="30" t="s">
        <v>141</v>
      </c>
      <c r="D60" s="13">
        <v>500000</v>
      </c>
      <c r="E60" s="14">
        <v>519.33000000000004</v>
      </c>
      <c r="F60" s="15">
        <v>4.0000000000000002E-4</v>
      </c>
      <c r="G60" s="15">
        <v>7.6149999999999995E-2</v>
      </c>
    </row>
    <row r="61" spans="1:7" x14ac:dyDescent="0.35">
      <c r="A61" s="16" t="s">
        <v>102</v>
      </c>
      <c r="B61" s="31"/>
      <c r="C61" s="31"/>
      <c r="D61" s="17"/>
      <c r="E61" s="18">
        <v>1268743.6799999999</v>
      </c>
      <c r="F61" s="19">
        <v>0.87270000000000003</v>
      </c>
      <c r="G61" s="20"/>
    </row>
    <row r="62" spans="1:7" x14ac:dyDescent="0.35">
      <c r="A62" s="12"/>
      <c r="B62" s="30"/>
      <c r="C62" s="30"/>
      <c r="D62" s="13"/>
      <c r="E62" s="14"/>
      <c r="F62" s="15"/>
      <c r="G62" s="15"/>
    </row>
    <row r="63" spans="1:7" x14ac:dyDescent="0.35">
      <c r="A63" s="16" t="s">
        <v>403</v>
      </c>
      <c r="B63" s="30"/>
      <c r="C63" s="30"/>
      <c r="D63" s="13"/>
      <c r="E63" s="14"/>
      <c r="F63" s="15"/>
      <c r="G63" s="15"/>
    </row>
    <row r="64" spans="1:7" x14ac:dyDescent="0.35">
      <c r="A64" s="12" t="s">
        <v>404</v>
      </c>
      <c r="B64" s="30" t="s">
        <v>405</v>
      </c>
      <c r="C64" s="30" t="s">
        <v>101</v>
      </c>
      <c r="D64" s="13">
        <v>68500000</v>
      </c>
      <c r="E64" s="14">
        <v>67360.02</v>
      </c>
      <c r="F64" s="15">
        <v>4.6300000000000001E-2</v>
      </c>
      <c r="G64" s="15">
        <v>7.4279999999999999E-2</v>
      </c>
    </row>
    <row r="65" spans="1:7" x14ac:dyDescent="0.35">
      <c r="A65" s="12" t="s">
        <v>406</v>
      </c>
      <c r="B65" s="30" t="s">
        <v>407</v>
      </c>
      <c r="C65" s="30" t="s">
        <v>101</v>
      </c>
      <c r="D65" s="13">
        <v>33000000</v>
      </c>
      <c r="E65" s="14">
        <v>31273.11</v>
      </c>
      <c r="F65" s="15">
        <v>2.1499999999999998E-2</v>
      </c>
      <c r="G65" s="15">
        <v>7.4281E-2</v>
      </c>
    </row>
    <row r="66" spans="1:7" x14ac:dyDescent="0.35">
      <c r="A66" s="12" t="s">
        <v>408</v>
      </c>
      <c r="B66" s="30" t="s">
        <v>409</v>
      </c>
      <c r="C66" s="30" t="s">
        <v>101</v>
      </c>
      <c r="D66" s="13">
        <v>25500000</v>
      </c>
      <c r="E66" s="14">
        <v>24569.71</v>
      </c>
      <c r="F66" s="15">
        <v>1.6899999999999998E-2</v>
      </c>
      <c r="G66" s="15">
        <v>7.4549000000000004E-2</v>
      </c>
    </row>
    <row r="67" spans="1:7" x14ac:dyDescent="0.35">
      <c r="A67" s="12" t="s">
        <v>410</v>
      </c>
      <c r="B67" s="30" t="s">
        <v>411</v>
      </c>
      <c r="C67" s="30" t="s">
        <v>101</v>
      </c>
      <c r="D67" s="13">
        <v>4000000</v>
      </c>
      <c r="E67" s="14">
        <v>4099.99</v>
      </c>
      <c r="F67" s="15">
        <v>2.8E-3</v>
      </c>
      <c r="G67" s="15">
        <v>7.4316999999999994E-2</v>
      </c>
    </row>
    <row r="68" spans="1:7" x14ac:dyDescent="0.35">
      <c r="A68" s="16" t="s">
        <v>102</v>
      </c>
      <c r="B68" s="31"/>
      <c r="C68" s="31"/>
      <c r="D68" s="17"/>
      <c r="E68" s="18">
        <v>127302.83</v>
      </c>
      <c r="F68" s="19">
        <v>8.7499999999999994E-2</v>
      </c>
      <c r="G68" s="20"/>
    </row>
    <row r="69" spans="1:7" x14ac:dyDescent="0.35">
      <c r="A69" s="12"/>
      <c r="B69" s="30"/>
      <c r="C69" s="30"/>
      <c r="D69" s="13"/>
      <c r="E69" s="14"/>
      <c r="F69" s="15"/>
      <c r="G69" s="15"/>
    </row>
    <row r="70" spans="1:7" x14ac:dyDescent="0.35">
      <c r="A70" s="16" t="s">
        <v>192</v>
      </c>
      <c r="B70" s="30"/>
      <c r="C70" s="30"/>
      <c r="D70" s="13"/>
      <c r="E70" s="14"/>
      <c r="F70" s="15"/>
      <c r="G70" s="15"/>
    </row>
    <row r="71" spans="1:7" x14ac:dyDescent="0.35">
      <c r="A71" s="16" t="s">
        <v>102</v>
      </c>
      <c r="B71" s="30"/>
      <c r="C71" s="30"/>
      <c r="D71" s="13"/>
      <c r="E71" s="35" t="s">
        <v>96</v>
      </c>
      <c r="F71" s="36" t="s">
        <v>96</v>
      </c>
      <c r="G71" s="15"/>
    </row>
    <row r="72" spans="1:7" x14ac:dyDescent="0.35">
      <c r="A72" s="12"/>
      <c r="B72" s="30"/>
      <c r="C72" s="30"/>
      <c r="D72" s="13"/>
      <c r="E72" s="14"/>
      <c r="F72" s="15"/>
      <c r="G72" s="15"/>
    </row>
    <row r="73" spans="1:7" x14ac:dyDescent="0.35">
      <c r="A73" s="16" t="s">
        <v>193</v>
      </c>
      <c r="B73" s="30"/>
      <c r="C73" s="30"/>
      <c r="D73" s="13"/>
      <c r="E73" s="14"/>
      <c r="F73" s="15"/>
      <c r="G73" s="15"/>
    </row>
    <row r="74" spans="1:7" x14ac:dyDescent="0.35">
      <c r="A74" s="16" t="s">
        <v>102</v>
      </c>
      <c r="B74" s="30"/>
      <c r="C74" s="30"/>
      <c r="D74" s="13"/>
      <c r="E74" s="35" t="s">
        <v>96</v>
      </c>
      <c r="F74" s="36" t="s">
        <v>96</v>
      </c>
      <c r="G74" s="15"/>
    </row>
    <row r="75" spans="1:7" x14ac:dyDescent="0.35">
      <c r="A75" s="12"/>
      <c r="B75" s="30"/>
      <c r="C75" s="30"/>
      <c r="D75" s="13"/>
      <c r="E75" s="14"/>
      <c r="F75" s="15"/>
      <c r="G75" s="15"/>
    </row>
    <row r="76" spans="1:7" x14ac:dyDescent="0.35">
      <c r="A76" s="21" t="s">
        <v>129</v>
      </c>
      <c r="B76" s="32"/>
      <c r="C76" s="32"/>
      <c r="D76" s="22"/>
      <c r="E76" s="18">
        <v>1396046.51</v>
      </c>
      <c r="F76" s="19">
        <v>0.96020000000000005</v>
      </c>
      <c r="G76" s="20"/>
    </row>
    <row r="77" spans="1:7" x14ac:dyDescent="0.35">
      <c r="A77" s="12"/>
      <c r="B77" s="30"/>
      <c r="C77" s="30"/>
      <c r="D77" s="13"/>
      <c r="E77" s="14"/>
      <c r="F77" s="15"/>
      <c r="G77" s="15"/>
    </row>
    <row r="78" spans="1:7" x14ac:dyDescent="0.35">
      <c r="A78" s="12"/>
      <c r="B78" s="30"/>
      <c r="C78" s="30"/>
      <c r="D78" s="13"/>
      <c r="E78" s="14"/>
      <c r="F78" s="15"/>
      <c r="G78" s="15"/>
    </row>
    <row r="79" spans="1:7" x14ac:dyDescent="0.35">
      <c r="A79" s="16" t="s">
        <v>130</v>
      </c>
      <c r="B79" s="30"/>
      <c r="C79" s="30"/>
      <c r="D79" s="13"/>
      <c r="E79" s="14"/>
      <c r="F79" s="15"/>
      <c r="G79" s="15"/>
    </row>
    <row r="80" spans="1:7" x14ac:dyDescent="0.35">
      <c r="A80" s="12" t="s">
        <v>131</v>
      </c>
      <c r="B80" s="30"/>
      <c r="C80" s="30"/>
      <c r="D80" s="13"/>
      <c r="E80" s="14">
        <v>8111.64</v>
      </c>
      <c r="F80" s="15">
        <v>5.5999999999999999E-3</v>
      </c>
      <c r="G80" s="57">
        <v>6.1074000000000003E-2</v>
      </c>
    </row>
    <row r="81" spans="1:7" x14ac:dyDescent="0.35">
      <c r="A81" s="16" t="s">
        <v>102</v>
      </c>
      <c r="B81" s="31"/>
      <c r="C81" s="31"/>
      <c r="D81" s="17"/>
      <c r="E81" s="18">
        <v>8111.64</v>
      </c>
      <c r="F81" s="19">
        <v>5.5999999999999999E-3</v>
      </c>
      <c r="G81" s="58"/>
    </row>
    <row r="82" spans="1:7" x14ac:dyDescent="0.35">
      <c r="A82" s="12"/>
      <c r="B82" s="30"/>
      <c r="C82" s="30"/>
      <c r="D82" s="13"/>
      <c r="E82" s="14"/>
      <c r="F82" s="15"/>
      <c r="G82" s="57"/>
    </row>
    <row r="83" spans="1:7" x14ac:dyDescent="0.35">
      <c r="A83" s="21" t="s">
        <v>129</v>
      </c>
      <c r="B83" s="32"/>
      <c r="C83" s="32"/>
      <c r="D83" s="22"/>
      <c r="E83" s="18">
        <v>8111.64</v>
      </c>
      <c r="F83" s="19">
        <v>5.5999999999999999E-3</v>
      </c>
      <c r="G83" s="58"/>
    </row>
    <row r="84" spans="1:7" x14ac:dyDescent="0.35">
      <c r="A84" s="12" t="s">
        <v>132</v>
      </c>
      <c r="B84" s="30"/>
      <c r="C84" s="30"/>
      <c r="D84" s="13"/>
      <c r="E84" s="14">
        <v>49745.214667599997</v>
      </c>
      <c r="F84" s="15">
        <v>3.4213E-2</v>
      </c>
      <c r="G84" s="57"/>
    </row>
    <row r="85" spans="1:7" x14ac:dyDescent="0.35">
      <c r="A85" s="12" t="s">
        <v>133</v>
      </c>
      <c r="B85" s="30"/>
      <c r="C85" s="30"/>
      <c r="D85" s="13"/>
      <c r="E85" s="14">
        <v>46.315332400000003</v>
      </c>
      <c r="F85" s="24">
        <v>-1.2999999999999999E-5</v>
      </c>
      <c r="G85" s="57">
        <v>6.1074000000000003E-2</v>
      </c>
    </row>
    <row r="86" spans="1:7" x14ac:dyDescent="0.35">
      <c r="A86" s="25" t="s">
        <v>134</v>
      </c>
      <c r="B86" s="33"/>
      <c r="C86" s="33"/>
      <c r="D86" s="26"/>
      <c r="E86" s="27">
        <v>1453949.68</v>
      </c>
      <c r="F86" s="28">
        <v>1</v>
      </c>
      <c r="G86" s="28"/>
    </row>
    <row r="88" spans="1:7" x14ac:dyDescent="0.35">
      <c r="A88" s="1" t="s">
        <v>136</v>
      </c>
    </row>
    <row r="91" spans="1:7" x14ac:dyDescent="0.35">
      <c r="A91" s="1" t="s">
        <v>1981</v>
      </c>
    </row>
    <row r="92" spans="1:7" x14ac:dyDescent="0.35">
      <c r="A92" s="47" t="s">
        <v>1982</v>
      </c>
      <c r="B92" s="34" t="s">
        <v>96</v>
      </c>
    </row>
    <row r="93" spans="1:7" x14ac:dyDescent="0.35">
      <c r="A93" t="s">
        <v>1983</v>
      </c>
    </row>
    <row r="94" spans="1:7" x14ac:dyDescent="0.35">
      <c r="A94" t="s">
        <v>2007</v>
      </c>
      <c r="B94" t="s">
        <v>1985</v>
      </c>
      <c r="C94" t="s">
        <v>1985</v>
      </c>
    </row>
    <row r="95" spans="1:7" x14ac:dyDescent="0.35">
      <c r="B95" s="48">
        <v>44834</v>
      </c>
      <c r="C95" s="48">
        <v>44865</v>
      </c>
    </row>
    <row r="96" spans="1:7" x14ac:dyDescent="0.35">
      <c r="A96" t="s">
        <v>2008</v>
      </c>
      <c r="B96">
        <v>1204.1492000000001</v>
      </c>
      <c r="C96">
        <v>1210.5522000000001</v>
      </c>
      <c r="E96" s="2"/>
      <c r="G96"/>
    </row>
    <row r="97" spans="1:7" x14ac:dyDescent="0.35">
      <c r="E97" s="2"/>
      <c r="G97"/>
    </row>
    <row r="98" spans="1:7" x14ac:dyDescent="0.35">
      <c r="A98" t="s">
        <v>2000</v>
      </c>
      <c r="B98" s="34" t="s">
        <v>96</v>
      </c>
    </row>
    <row r="99" spans="1:7" x14ac:dyDescent="0.35">
      <c r="A99" t="s">
        <v>2001</v>
      </c>
      <c r="B99" s="34" t="s">
        <v>96</v>
      </c>
    </row>
    <row r="100" spans="1:7" ht="29" x14ac:dyDescent="0.35">
      <c r="A100" s="47" t="s">
        <v>2002</v>
      </c>
      <c r="B100" s="34" t="s">
        <v>96</v>
      </c>
    </row>
    <row r="101" spans="1:7" ht="29" x14ac:dyDescent="0.35">
      <c r="A101" s="47" t="s">
        <v>2003</v>
      </c>
      <c r="B101" s="34" t="s">
        <v>96</v>
      </c>
    </row>
    <row r="102" spans="1:7" x14ac:dyDescent="0.35">
      <c r="A102" t="s">
        <v>2004</v>
      </c>
      <c r="B102" s="49">
        <v>7.0990079157916997</v>
      </c>
    </row>
    <row r="103" spans="1:7" ht="43.5" x14ac:dyDescent="0.35">
      <c r="A103" s="47" t="s">
        <v>2005</v>
      </c>
      <c r="B103" s="34" t="s">
        <v>96</v>
      </c>
    </row>
    <row r="104" spans="1:7" ht="29" x14ac:dyDescent="0.35">
      <c r="A104" s="47" t="s">
        <v>2006</v>
      </c>
      <c r="B104" s="34" t="s">
        <v>96</v>
      </c>
    </row>
    <row r="105" spans="1:7" ht="29" x14ac:dyDescent="0.35">
      <c r="A105" s="47" t="s">
        <v>2009</v>
      </c>
      <c r="B105" s="49">
        <f>EDFF30!E11</f>
        <v>461517.96</v>
      </c>
    </row>
    <row r="106" spans="1:7" ht="29" x14ac:dyDescent="0.35">
      <c r="A106" s="47" t="s">
        <v>2135</v>
      </c>
      <c r="B106" s="34" t="s">
        <v>96</v>
      </c>
    </row>
    <row r="107" spans="1:7" ht="29" x14ac:dyDescent="0.35">
      <c r="A107" s="47" t="s">
        <v>2136</v>
      </c>
      <c r="B107" s="34" t="s">
        <v>96</v>
      </c>
    </row>
    <row r="109" spans="1:7" ht="29" x14ac:dyDescent="0.35">
      <c r="A109" s="172" t="s">
        <v>2154</v>
      </c>
      <c r="B109" s="173" t="s">
        <v>2155</v>
      </c>
      <c r="C109" s="173" t="s">
        <v>2156</v>
      </c>
      <c r="D109" s="177" t="s">
        <v>2157</v>
      </c>
    </row>
    <row r="110" spans="1:7" ht="58" customHeight="1" x14ac:dyDescent="0.35">
      <c r="A110" s="176" t="s">
        <v>2165</v>
      </c>
      <c r="B110" s="174"/>
      <c r="C110" s="175" t="s">
        <v>2166</v>
      </c>
      <c r="D110" s="174"/>
    </row>
  </sheetData>
  <mergeCells count="2">
    <mergeCell ref="A1:G1"/>
    <mergeCell ref="A2:G2"/>
  </mergeCell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74A7-5BC0-4F84-8802-F5FE9C4FCC0E}">
  <dimension ref="A1:H86"/>
  <sheetViews>
    <sheetView showGridLines="0" workbookViewId="0">
      <pane ySplit="4" topLeftCell="A85" activePane="bottomLeft" state="frozen"/>
      <selection activeCell="A2" sqref="A2:XFD2"/>
      <selection pane="bottomLeft" activeCell="B86" sqref="B86:D86"/>
    </sheetView>
  </sheetViews>
  <sheetFormatPr defaultRowHeight="14.5" x14ac:dyDescent="0.35"/>
  <cols>
    <col min="1" max="1" width="50.453125" customWidth="1"/>
    <col min="2" max="2" width="25" customWidth="1"/>
    <col min="3" max="3" width="26.6328125" customWidth="1"/>
    <col min="4" max="4" width="26.7265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15</v>
      </c>
      <c r="B1" s="151"/>
      <c r="C1" s="151"/>
      <c r="D1" s="151"/>
      <c r="E1" s="151"/>
      <c r="F1" s="151"/>
      <c r="G1" s="151"/>
      <c r="H1" s="50" t="str">
        <f>HYPERLINK("[EDEL_Portfolio Monthly Notes 31-Oct-2022.xlsx]Index!A1","Index")</f>
        <v>Index</v>
      </c>
    </row>
    <row r="2" spans="1:8" ht="31" customHeight="1" x14ac:dyDescent="0.35">
      <c r="A2" s="151" t="s">
        <v>16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412</v>
      </c>
      <c r="B11" s="30" t="s">
        <v>413</v>
      </c>
      <c r="C11" s="30" t="s">
        <v>141</v>
      </c>
      <c r="D11" s="13">
        <v>102000000</v>
      </c>
      <c r="E11" s="14">
        <v>94253.1</v>
      </c>
      <c r="F11" s="15">
        <v>8.4000000000000005E-2</v>
      </c>
      <c r="G11" s="15">
        <v>7.6550000000000007E-2</v>
      </c>
    </row>
    <row r="12" spans="1:8" x14ac:dyDescent="0.35">
      <c r="A12" s="12" t="s">
        <v>414</v>
      </c>
      <c r="B12" s="30" t="s">
        <v>415</v>
      </c>
      <c r="C12" s="30" t="s">
        <v>141</v>
      </c>
      <c r="D12" s="13">
        <v>97500000</v>
      </c>
      <c r="E12" s="14">
        <v>92780.9</v>
      </c>
      <c r="F12" s="15">
        <v>8.2699999999999996E-2</v>
      </c>
      <c r="G12" s="15">
        <v>7.6999999999999999E-2</v>
      </c>
    </row>
    <row r="13" spans="1:8" x14ac:dyDescent="0.35">
      <c r="A13" s="12" t="s">
        <v>416</v>
      </c>
      <c r="B13" s="30" t="s">
        <v>417</v>
      </c>
      <c r="C13" s="30" t="s">
        <v>148</v>
      </c>
      <c r="D13" s="13">
        <v>100000000</v>
      </c>
      <c r="E13" s="14">
        <v>92329</v>
      </c>
      <c r="F13" s="15">
        <v>8.2299999999999998E-2</v>
      </c>
      <c r="G13" s="15">
        <v>7.7100000000000002E-2</v>
      </c>
    </row>
    <row r="14" spans="1:8" x14ac:dyDescent="0.35">
      <c r="A14" s="12" t="s">
        <v>418</v>
      </c>
      <c r="B14" s="30" t="s">
        <v>419</v>
      </c>
      <c r="C14" s="30" t="s">
        <v>141</v>
      </c>
      <c r="D14" s="13">
        <v>98500000</v>
      </c>
      <c r="E14" s="14">
        <v>91426.12</v>
      </c>
      <c r="F14" s="15">
        <v>8.1500000000000003E-2</v>
      </c>
      <c r="G14" s="15">
        <v>7.6850000000000002E-2</v>
      </c>
    </row>
    <row r="15" spans="1:8" x14ac:dyDescent="0.35">
      <c r="A15" s="12" t="s">
        <v>420</v>
      </c>
      <c r="B15" s="30" t="s">
        <v>421</v>
      </c>
      <c r="C15" s="30" t="s">
        <v>148</v>
      </c>
      <c r="D15" s="13">
        <v>96000000</v>
      </c>
      <c r="E15" s="14">
        <v>90840.38</v>
      </c>
      <c r="F15" s="15">
        <v>8.1000000000000003E-2</v>
      </c>
      <c r="G15" s="15">
        <v>7.6832999999999999E-2</v>
      </c>
    </row>
    <row r="16" spans="1:8" x14ac:dyDescent="0.35">
      <c r="A16" s="12" t="s">
        <v>422</v>
      </c>
      <c r="B16" s="30" t="s">
        <v>423</v>
      </c>
      <c r="C16" s="30" t="s">
        <v>141</v>
      </c>
      <c r="D16" s="13">
        <v>95500000</v>
      </c>
      <c r="E16" s="14">
        <v>90775.52</v>
      </c>
      <c r="F16" s="15">
        <v>8.09E-2</v>
      </c>
      <c r="G16" s="15">
        <v>7.6950000000000005E-2</v>
      </c>
    </row>
    <row r="17" spans="1:7" x14ac:dyDescent="0.35">
      <c r="A17" s="12" t="s">
        <v>424</v>
      </c>
      <c r="B17" s="30" t="s">
        <v>425</v>
      </c>
      <c r="C17" s="30" t="s">
        <v>148</v>
      </c>
      <c r="D17" s="13">
        <v>82000000</v>
      </c>
      <c r="E17" s="14">
        <v>76019.740000000005</v>
      </c>
      <c r="F17" s="15">
        <v>6.7799999999999999E-2</v>
      </c>
      <c r="G17" s="15">
        <v>7.5998999999999997E-2</v>
      </c>
    </row>
    <row r="18" spans="1:7" x14ac:dyDescent="0.35">
      <c r="A18" s="12" t="s">
        <v>426</v>
      </c>
      <c r="B18" s="30" t="s">
        <v>427</v>
      </c>
      <c r="C18" s="30" t="s">
        <v>141</v>
      </c>
      <c r="D18" s="13">
        <v>80000000</v>
      </c>
      <c r="E18" s="14">
        <v>73420.56</v>
      </c>
      <c r="F18" s="15">
        <v>6.5500000000000003E-2</v>
      </c>
      <c r="G18" s="15">
        <v>7.6450000000000004E-2</v>
      </c>
    </row>
    <row r="19" spans="1:7" x14ac:dyDescent="0.35">
      <c r="A19" s="12" t="s">
        <v>428</v>
      </c>
      <c r="B19" s="30" t="s">
        <v>429</v>
      </c>
      <c r="C19" s="30" t="s">
        <v>141</v>
      </c>
      <c r="D19" s="13">
        <v>71500000</v>
      </c>
      <c r="E19" s="14">
        <v>66787.789999999994</v>
      </c>
      <c r="F19" s="15">
        <v>5.96E-2</v>
      </c>
      <c r="G19" s="15">
        <v>7.7122999999999997E-2</v>
      </c>
    </row>
    <row r="20" spans="1:7" x14ac:dyDescent="0.35">
      <c r="A20" s="12" t="s">
        <v>430</v>
      </c>
      <c r="B20" s="30" t="s">
        <v>431</v>
      </c>
      <c r="C20" s="30" t="s">
        <v>432</v>
      </c>
      <c r="D20" s="13">
        <v>67000000</v>
      </c>
      <c r="E20" s="14">
        <v>63028.17</v>
      </c>
      <c r="F20" s="15">
        <v>5.62E-2</v>
      </c>
      <c r="G20" s="15">
        <v>7.6700000000000004E-2</v>
      </c>
    </row>
    <row r="21" spans="1:7" x14ac:dyDescent="0.35">
      <c r="A21" s="12" t="s">
        <v>433</v>
      </c>
      <c r="B21" s="30" t="s">
        <v>434</v>
      </c>
      <c r="C21" s="30" t="s">
        <v>141</v>
      </c>
      <c r="D21" s="13">
        <v>38500000</v>
      </c>
      <c r="E21" s="14">
        <v>35245.089999999997</v>
      </c>
      <c r="F21" s="15">
        <v>3.1399999999999997E-2</v>
      </c>
      <c r="G21" s="15">
        <v>7.6749999999999999E-2</v>
      </c>
    </row>
    <row r="22" spans="1:7" x14ac:dyDescent="0.35">
      <c r="A22" s="12" t="s">
        <v>435</v>
      </c>
      <c r="B22" s="30" t="s">
        <v>436</v>
      </c>
      <c r="C22" s="30" t="s">
        <v>141</v>
      </c>
      <c r="D22" s="13">
        <v>24000000</v>
      </c>
      <c r="E22" s="14">
        <v>23816.66</v>
      </c>
      <c r="F22" s="15">
        <v>2.12E-2</v>
      </c>
      <c r="G22" s="15">
        <v>7.6749999999999999E-2</v>
      </c>
    </row>
    <row r="23" spans="1:7" x14ac:dyDescent="0.35">
      <c r="A23" s="12" t="s">
        <v>437</v>
      </c>
      <c r="B23" s="30" t="s">
        <v>438</v>
      </c>
      <c r="C23" s="30" t="s">
        <v>141</v>
      </c>
      <c r="D23" s="13">
        <v>22000000</v>
      </c>
      <c r="E23" s="14">
        <v>21213.21</v>
      </c>
      <c r="F23" s="15">
        <v>1.89E-2</v>
      </c>
      <c r="G23" s="15">
        <v>7.6700000000000004E-2</v>
      </c>
    </row>
    <row r="24" spans="1:7" x14ac:dyDescent="0.35">
      <c r="A24" s="12" t="s">
        <v>439</v>
      </c>
      <c r="B24" s="30" t="s">
        <v>440</v>
      </c>
      <c r="C24" s="30" t="s">
        <v>141</v>
      </c>
      <c r="D24" s="13">
        <v>18000000</v>
      </c>
      <c r="E24" s="14">
        <v>17331.93</v>
      </c>
      <c r="F24" s="15">
        <v>1.55E-2</v>
      </c>
      <c r="G24" s="15">
        <v>7.6700000000000004E-2</v>
      </c>
    </row>
    <row r="25" spans="1:7" x14ac:dyDescent="0.35">
      <c r="A25" s="12" t="s">
        <v>441</v>
      </c>
      <c r="B25" s="30" t="s">
        <v>442</v>
      </c>
      <c r="C25" s="30" t="s">
        <v>141</v>
      </c>
      <c r="D25" s="13">
        <v>11500000</v>
      </c>
      <c r="E25" s="14">
        <v>10947.6</v>
      </c>
      <c r="F25" s="15">
        <v>9.7999999999999997E-3</v>
      </c>
      <c r="G25" s="15">
        <v>7.6999999999999999E-2</v>
      </c>
    </row>
    <row r="26" spans="1:7" x14ac:dyDescent="0.35">
      <c r="A26" s="12" t="s">
        <v>443</v>
      </c>
      <c r="B26" s="30" t="s">
        <v>444</v>
      </c>
      <c r="C26" s="30" t="s">
        <v>141</v>
      </c>
      <c r="D26" s="13">
        <v>6000000</v>
      </c>
      <c r="E26" s="14">
        <v>6392.81</v>
      </c>
      <c r="F26" s="15">
        <v>5.7000000000000002E-3</v>
      </c>
      <c r="G26" s="15">
        <v>7.6700000000000004E-2</v>
      </c>
    </row>
    <row r="27" spans="1:7" x14ac:dyDescent="0.35">
      <c r="A27" s="12" t="s">
        <v>445</v>
      </c>
      <c r="B27" s="30" t="s">
        <v>446</v>
      </c>
      <c r="C27" s="30" t="s">
        <v>141</v>
      </c>
      <c r="D27" s="13">
        <v>5500000</v>
      </c>
      <c r="E27" s="14">
        <v>5520.93</v>
      </c>
      <c r="F27" s="15">
        <v>4.8999999999999998E-3</v>
      </c>
      <c r="G27" s="15">
        <v>7.6700000000000004E-2</v>
      </c>
    </row>
    <row r="28" spans="1:7" x14ac:dyDescent="0.35">
      <c r="A28" s="12" t="s">
        <v>447</v>
      </c>
      <c r="B28" s="30" t="s">
        <v>448</v>
      </c>
      <c r="C28" s="30" t="s">
        <v>141</v>
      </c>
      <c r="D28" s="13">
        <v>5000000</v>
      </c>
      <c r="E28" s="14">
        <v>5028.5</v>
      </c>
      <c r="F28" s="15">
        <v>4.4999999999999997E-3</v>
      </c>
      <c r="G28" s="15">
        <v>7.6749999999999999E-2</v>
      </c>
    </row>
    <row r="29" spans="1:7" x14ac:dyDescent="0.35">
      <c r="A29" s="12" t="s">
        <v>449</v>
      </c>
      <c r="B29" s="30" t="s">
        <v>450</v>
      </c>
      <c r="C29" s="30" t="s">
        <v>141</v>
      </c>
      <c r="D29" s="13">
        <v>3300000</v>
      </c>
      <c r="E29" s="14">
        <v>3430.18</v>
      </c>
      <c r="F29" s="15">
        <v>3.0999999999999999E-3</v>
      </c>
      <c r="G29" s="15">
        <v>7.6450000000000004E-2</v>
      </c>
    </row>
    <row r="30" spans="1:7" x14ac:dyDescent="0.35">
      <c r="A30" s="12" t="s">
        <v>451</v>
      </c>
      <c r="B30" s="30" t="s">
        <v>452</v>
      </c>
      <c r="C30" s="30" t="s">
        <v>141</v>
      </c>
      <c r="D30" s="13">
        <v>3500000</v>
      </c>
      <c r="E30" s="14">
        <v>3245.41</v>
      </c>
      <c r="F30" s="15">
        <v>2.8999999999999998E-3</v>
      </c>
      <c r="G30" s="15">
        <v>7.6450000000000004E-2</v>
      </c>
    </row>
    <row r="31" spans="1:7" x14ac:dyDescent="0.35">
      <c r="A31" s="12" t="s">
        <v>453</v>
      </c>
      <c r="B31" s="30" t="s">
        <v>454</v>
      </c>
      <c r="C31" s="30" t="s">
        <v>141</v>
      </c>
      <c r="D31" s="13">
        <v>2500000</v>
      </c>
      <c r="E31" s="14">
        <v>2589.85</v>
      </c>
      <c r="F31" s="15">
        <v>2.3E-3</v>
      </c>
      <c r="G31" s="15">
        <v>7.6852000000000004E-2</v>
      </c>
    </row>
    <row r="32" spans="1:7" x14ac:dyDescent="0.35">
      <c r="A32" s="12" t="s">
        <v>455</v>
      </c>
      <c r="B32" s="30" t="s">
        <v>456</v>
      </c>
      <c r="C32" s="30" t="s">
        <v>141</v>
      </c>
      <c r="D32" s="13">
        <v>2000000</v>
      </c>
      <c r="E32" s="14">
        <v>2052.25</v>
      </c>
      <c r="F32" s="15">
        <v>1.8E-3</v>
      </c>
      <c r="G32" s="15">
        <v>7.6450000000000004E-2</v>
      </c>
    </row>
    <row r="33" spans="1:7" x14ac:dyDescent="0.35">
      <c r="A33" s="12" t="s">
        <v>457</v>
      </c>
      <c r="B33" s="30" t="s">
        <v>458</v>
      </c>
      <c r="C33" s="30" t="s">
        <v>141</v>
      </c>
      <c r="D33" s="13">
        <v>2000000</v>
      </c>
      <c r="E33" s="14">
        <v>1896.35</v>
      </c>
      <c r="F33" s="15">
        <v>1.6999999999999999E-3</v>
      </c>
      <c r="G33" s="15">
        <v>7.6749999999999999E-2</v>
      </c>
    </row>
    <row r="34" spans="1:7" x14ac:dyDescent="0.35">
      <c r="A34" s="12" t="s">
        <v>459</v>
      </c>
      <c r="B34" s="30" t="s">
        <v>460</v>
      </c>
      <c r="C34" s="30" t="s">
        <v>141</v>
      </c>
      <c r="D34" s="13">
        <v>1000000</v>
      </c>
      <c r="E34" s="14">
        <v>984.32</v>
      </c>
      <c r="F34" s="15">
        <v>8.9999999999999998E-4</v>
      </c>
      <c r="G34" s="15">
        <v>7.6700000000000004E-2</v>
      </c>
    </row>
    <row r="35" spans="1:7" x14ac:dyDescent="0.35">
      <c r="A35" s="12" t="s">
        <v>461</v>
      </c>
      <c r="B35" s="30" t="s">
        <v>462</v>
      </c>
      <c r="C35" s="30" t="s">
        <v>141</v>
      </c>
      <c r="D35" s="13">
        <v>1000000</v>
      </c>
      <c r="E35" s="14">
        <v>984.05</v>
      </c>
      <c r="F35" s="15">
        <v>8.9999999999999998E-4</v>
      </c>
      <c r="G35" s="15">
        <v>7.6550000000000007E-2</v>
      </c>
    </row>
    <row r="36" spans="1:7" x14ac:dyDescent="0.35">
      <c r="A36" s="12" t="s">
        <v>463</v>
      </c>
      <c r="B36" s="30" t="s">
        <v>464</v>
      </c>
      <c r="C36" s="30" t="s">
        <v>141</v>
      </c>
      <c r="D36" s="13">
        <v>1000000</v>
      </c>
      <c r="E36" s="14">
        <v>958.32</v>
      </c>
      <c r="F36" s="15">
        <v>8.9999999999999998E-4</v>
      </c>
      <c r="G36" s="15">
        <v>7.6950000000000005E-2</v>
      </c>
    </row>
    <row r="37" spans="1:7" x14ac:dyDescent="0.35">
      <c r="A37" s="12" t="s">
        <v>465</v>
      </c>
      <c r="B37" s="30" t="s">
        <v>466</v>
      </c>
      <c r="C37" s="30" t="s">
        <v>141</v>
      </c>
      <c r="D37" s="13">
        <v>500000</v>
      </c>
      <c r="E37" s="14">
        <v>520.72</v>
      </c>
      <c r="F37" s="15">
        <v>5.0000000000000001E-4</v>
      </c>
      <c r="G37" s="15">
        <v>7.6450000000000004E-2</v>
      </c>
    </row>
    <row r="38" spans="1:7" x14ac:dyDescent="0.35">
      <c r="A38" s="12" t="s">
        <v>467</v>
      </c>
      <c r="B38" s="30" t="s">
        <v>468</v>
      </c>
      <c r="C38" s="30" t="s">
        <v>148</v>
      </c>
      <c r="D38" s="13">
        <v>500000</v>
      </c>
      <c r="E38" s="14">
        <v>473.59</v>
      </c>
      <c r="F38" s="15">
        <v>4.0000000000000002E-4</v>
      </c>
      <c r="G38" s="15">
        <v>7.6850000000000002E-2</v>
      </c>
    </row>
    <row r="39" spans="1:7" x14ac:dyDescent="0.35">
      <c r="A39" s="16" t="s">
        <v>102</v>
      </c>
      <c r="B39" s="31"/>
      <c r="C39" s="31"/>
      <c r="D39" s="17"/>
      <c r="E39" s="18">
        <v>974293.05</v>
      </c>
      <c r="F39" s="19">
        <v>0.86880000000000002</v>
      </c>
      <c r="G39" s="20"/>
    </row>
    <row r="40" spans="1:7" x14ac:dyDescent="0.35">
      <c r="A40" s="12"/>
      <c r="B40" s="30"/>
      <c r="C40" s="30"/>
      <c r="D40" s="13"/>
      <c r="E40" s="14"/>
      <c r="F40" s="15"/>
      <c r="G40" s="15"/>
    </row>
    <row r="41" spans="1:7" x14ac:dyDescent="0.35">
      <c r="A41" s="16" t="s">
        <v>403</v>
      </c>
      <c r="B41" s="30"/>
      <c r="C41" s="30"/>
      <c r="D41" s="13"/>
      <c r="E41" s="14"/>
      <c r="F41" s="15"/>
      <c r="G41" s="15"/>
    </row>
    <row r="42" spans="1:7" x14ac:dyDescent="0.35">
      <c r="A42" s="12" t="s">
        <v>469</v>
      </c>
      <c r="B42" s="30" t="s">
        <v>470</v>
      </c>
      <c r="C42" s="30" t="s">
        <v>101</v>
      </c>
      <c r="D42" s="13">
        <v>57000000</v>
      </c>
      <c r="E42" s="14">
        <v>57615.32</v>
      </c>
      <c r="F42" s="15">
        <v>5.1400000000000001E-2</v>
      </c>
      <c r="G42" s="15">
        <v>7.4195999999999998E-2</v>
      </c>
    </row>
    <row r="43" spans="1:7" x14ac:dyDescent="0.35">
      <c r="A43" s="12" t="s">
        <v>404</v>
      </c>
      <c r="B43" s="30" t="s">
        <v>405</v>
      </c>
      <c r="C43" s="30" t="s">
        <v>101</v>
      </c>
      <c r="D43" s="13">
        <v>54000000</v>
      </c>
      <c r="E43" s="14">
        <v>53101.33</v>
      </c>
      <c r="F43" s="15">
        <v>4.7399999999999998E-2</v>
      </c>
      <c r="G43" s="15">
        <v>7.4279999999999999E-2</v>
      </c>
    </row>
    <row r="44" spans="1:7" x14ac:dyDescent="0.35">
      <c r="A44" s="16" t="s">
        <v>102</v>
      </c>
      <c r="B44" s="31"/>
      <c r="C44" s="31"/>
      <c r="D44" s="17"/>
      <c r="E44" s="18">
        <v>110716.65</v>
      </c>
      <c r="F44" s="19">
        <v>9.8799999999999999E-2</v>
      </c>
      <c r="G44" s="20"/>
    </row>
    <row r="45" spans="1:7" x14ac:dyDescent="0.35">
      <c r="A45" s="12"/>
      <c r="B45" s="30"/>
      <c r="C45" s="30"/>
      <c r="D45" s="13"/>
      <c r="E45" s="14"/>
      <c r="F45" s="15"/>
      <c r="G45" s="15"/>
    </row>
    <row r="46" spans="1:7" x14ac:dyDescent="0.35">
      <c r="A46" s="16" t="s">
        <v>192</v>
      </c>
      <c r="B46" s="30"/>
      <c r="C46" s="30"/>
      <c r="D46" s="13"/>
      <c r="E46" s="14"/>
      <c r="F46" s="15"/>
      <c r="G46" s="15"/>
    </row>
    <row r="47" spans="1:7" x14ac:dyDescent="0.35">
      <c r="A47" s="16" t="s">
        <v>102</v>
      </c>
      <c r="B47" s="30"/>
      <c r="C47" s="30"/>
      <c r="D47" s="13"/>
      <c r="E47" s="35" t="s">
        <v>96</v>
      </c>
      <c r="F47" s="36" t="s">
        <v>96</v>
      </c>
      <c r="G47" s="15"/>
    </row>
    <row r="48" spans="1:7" x14ac:dyDescent="0.35">
      <c r="A48" s="12"/>
      <c r="B48" s="30"/>
      <c r="C48" s="30"/>
      <c r="D48" s="13"/>
      <c r="E48" s="14"/>
      <c r="F48" s="15"/>
      <c r="G48" s="15"/>
    </row>
    <row r="49" spans="1:7" x14ac:dyDescent="0.35">
      <c r="A49" s="16" t="s">
        <v>193</v>
      </c>
      <c r="B49" s="30"/>
      <c r="C49" s="30"/>
      <c r="D49" s="13"/>
      <c r="E49" s="14"/>
      <c r="F49" s="15"/>
      <c r="G49" s="15"/>
    </row>
    <row r="50" spans="1:7" x14ac:dyDescent="0.35">
      <c r="A50" s="16" t="s">
        <v>102</v>
      </c>
      <c r="B50" s="30"/>
      <c r="C50" s="30"/>
      <c r="D50" s="13"/>
      <c r="E50" s="35" t="s">
        <v>96</v>
      </c>
      <c r="F50" s="36" t="s">
        <v>96</v>
      </c>
      <c r="G50" s="15"/>
    </row>
    <row r="51" spans="1:7" x14ac:dyDescent="0.35">
      <c r="A51" s="12"/>
      <c r="B51" s="30"/>
      <c r="C51" s="30"/>
      <c r="D51" s="13"/>
      <c r="E51" s="14"/>
      <c r="F51" s="15"/>
      <c r="G51" s="15"/>
    </row>
    <row r="52" spans="1:7" x14ac:dyDescent="0.35">
      <c r="A52" s="21" t="s">
        <v>129</v>
      </c>
      <c r="B52" s="32"/>
      <c r="C52" s="32"/>
      <c r="D52" s="22"/>
      <c r="E52" s="18">
        <v>1085009.7</v>
      </c>
      <c r="F52" s="19">
        <v>0.96760000000000002</v>
      </c>
      <c r="G52" s="20"/>
    </row>
    <row r="53" spans="1:7" x14ac:dyDescent="0.35">
      <c r="A53" s="12"/>
      <c r="B53" s="30"/>
      <c r="C53" s="30"/>
      <c r="D53" s="13"/>
      <c r="E53" s="14"/>
      <c r="F53" s="15"/>
      <c r="G53" s="15"/>
    </row>
    <row r="54" spans="1:7" x14ac:dyDescent="0.35">
      <c r="A54" s="12"/>
      <c r="B54" s="30"/>
      <c r="C54" s="30"/>
      <c r="D54" s="13"/>
      <c r="E54" s="14"/>
      <c r="F54" s="15"/>
      <c r="G54" s="15"/>
    </row>
    <row r="55" spans="1:7" x14ac:dyDescent="0.35">
      <c r="A55" s="16" t="s">
        <v>130</v>
      </c>
      <c r="B55" s="30"/>
      <c r="C55" s="30"/>
      <c r="D55" s="13"/>
      <c r="E55" s="14"/>
      <c r="F55" s="15"/>
      <c r="G55" s="15"/>
    </row>
    <row r="56" spans="1:7" x14ac:dyDescent="0.35">
      <c r="A56" s="12" t="s">
        <v>131</v>
      </c>
      <c r="B56" s="30"/>
      <c r="C56" s="30"/>
      <c r="D56" s="13"/>
      <c r="E56" s="14">
        <v>9210.4599999999991</v>
      </c>
      <c r="F56" s="15">
        <v>8.2000000000000007E-3</v>
      </c>
      <c r="G56" s="59">
        <v>6.1074000000000003E-2</v>
      </c>
    </row>
    <row r="57" spans="1:7" x14ac:dyDescent="0.35">
      <c r="A57" s="16" t="s">
        <v>102</v>
      </c>
      <c r="B57" s="31"/>
      <c r="C57" s="31"/>
      <c r="D57" s="17"/>
      <c r="E57" s="18">
        <v>9210.4599999999991</v>
      </c>
      <c r="F57" s="19">
        <v>8.2000000000000007E-3</v>
      </c>
      <c r="G57" s="60"/>
    </row>
    <row r="58" spans="1:7" x14ac:dyDescent="0.35">
      <c r="A58" s="12"/>
      <c r="B58" s="30"/>
      <c r="C58" s="30"/>
      <c r="D58" s="13"/>
      <c r="E58" s="14"/>
      <c r="F58" s="15"/>
      <c r="G58" s="59"/>
    </row>
    <row r="59" spans="1:7" x14ac:dyDescent="0.35">
      <c r="A59" s="21" t="s">
        <v>129</v>
      </c>
      <c r="B59" s="32"/>
      <c r="C59" s="32"/>
      <c r="D59" s="22"/>
      <c r="E59" s="18">
        <v>9210.4599999999991</v>
      </c>
      <c r="F59" s="19">
        <v>8.2000000000000007E-3</v>
      </c>
      <c r="G59" s="60"/>
    </row>
    <row r="60" spans="1:7" x14ac:dyDescent="0.35">
      <c r="A60" s="12" t="s">
        <v>132</v>
      </c>
      <c r="B60" s="30"/>
      <c r="C60" s="30"/>
      <c r="D60" s="13"/>
      <c r="E60" s="14">
        <v>27158.772281900001</v>
      </c>
      <c r="F60" s="15">
        <v>2.4216999999999999E-2</v>
      </c>
      <c r="G60" s="59"/>
    </row>
    <row r="61" spans="1:7" x14ac:dyDescent="0.35">
      <c r="A61" s="12" t="s">
        <v>133</v>
      </c>
      <c r="B61" s="30"/>
      <c r="C61" s="30"/>
      <c r="D61" s="13"/>
      <c r="E61" s="14">
        <v>54.637718100000001</v>
      </c>
      <c r="F61" s="24">
        <v>-1.7E-5</v>
      </c>
      <c r="G61" s="59">
        <v>6.1074000000000003E-2</v>
      </c>
    </row>
    <row r="62" spans="1:7" x14ac:dyDescent="0.35">
      <c r="A62" s="25" t="s">
        <v>134</v>
      </c>
      <c r="B62" s="33"/>
      <c r="C62" s="33"/>
      <c r="D62" s="26"/>
      <c r="E62" s="27">
        <v>1121433.57</v>
      </c>
      <c r="F62" s="28">
        <v>1</v>
      </c>
      <c r="G62" s="28"/>
    </row>
    <row r="64" spans="1:7" x14ac:dyDescent="0.35">
      <c r="A64" s="1" t="s">
        <v>136</v>
      </c>
    </row>
    <row r="67" spans="1:7" x14ac:dyDescent="0.35">
      <c r="A67" s="1" t="s">
        <v>1981</v>
      </c>
    </row>
    <row r="68" spans="1:7" x14ac:dyDescent="0.35">
      <c r="A68" s="47" t="s">
        <v>1982</v>
      </c>
      <c r="B68" s="34" t="s">
        <v>96</v>
      </c>
    </row>
    <row r="69" spans="1:7" x14ac:dyDescent="0.35">
      <c r="A69" t="s">
        <v>1983</v>
      </c>
    </row>
    <row r="70" spans="1:7" x14ac:dyDescent="0.35">
      <c r="A70" t="s">
        <v>2007</v>
      </c>
      <c r="B70" t="s">
        <v>1985</v>
      </c>
      <c r="C70" t="s">
        <v>1985</v>
      </c>
    </row>
    <row r="71" spans="1:7" x14ac:dyDescent="0.35">
      <c r="B71" s="48">
        <v>44834</v>
      </c>
      <c r="C71" s="48">
        <v>44865</v>
      </c>
    </row>
    <row r="72" spans="1:7" x14ac:dyDescent="0.35">
      <c r="A72" t="s">
        <v>2008</v>
      </c>
      <c r="B72">
        <v>1071.8013000000001</v>
      </c>
      <c r="C72">
        <v>1079.1360999999999</v>
      </c>
      <c r="E72" s="2"/>
      <c r="G72"/>
    </row>
    <row r="73" spans="1:7" x14ac:dyDescent="0.35">
      <c r="E73" s="2"/>
      <c r="G73"/>
    </row>
    <row r="74" spans="1:7" x14ac:dyDescent="0.35">
      <c r="A74" t="s">
        <v>2000</v>
      </c>
      <c r="B74" s="34" t="s">
        <v>96</v>
      </c>
    </row>
    <row r="75" spans="1:7" x14ac:dyDescent="0.35">
      <c r="A75" t="s">
        <v>2001</v>
      </c>
      <c r="B75" s="34" t="s">
        <v>96</v>
      </c>
    </row>
    <row r="76" spans="1:7" ht="29" x14ac:dyDescent="0.35">
      <c r="A76" s="47" t="s">
        <v>2002</v>
      </c>
      <c r="B76" s="34" t="s">
        <v>96</v>
      </c>
    </row>
    <row r="77" spans="1:7" ht="29" x14ac:dyDescent="0.35">
      <c r="A77" s="47" t="s">
        <v>2003</v>
      </c>
      <c r="B77" s="34" t="s">
        <v>96</v>
      </c>
    </row>
    <row r="78" spans="1:7" x14ac:dyDescent="0.35">
      <c r="A78" t="s">
        <v>2004</v>
      </c>
      <c r="B78" s="49">
        <v>8.1404853179144503</v>
      </c>
    </row>
    <row r="79" spans="1:7" ht="43.5" x14ac:dyDescent="0.35">
      <c r="A79" s="47" t="s">
        <v>2005</v>
      </c>
      <c r="B79" s="34" t="s">
        <v>96</v>
      </c>
    </row>
    <row r="80" spans="1:7" ht="29" x14ac:dyDescent="0.35">
      <c r="A80" s="47" t="s">
        <v>2006</v>
      </c>
      <c r="B80" s="34" t="s">
        <v>96</v>
      </c>
    </row>
    <row r="81" spans="1:4" ht="29" x14ac:dyDescent="0.35">
      <c r="A81" s="47" t="s">
        <v>2009</v>
      </c>
      <c r="B81" s="49">
        <f>EDFF31!$E$11</f>
        <v>326244.71999999997</v>
      </c>
    </row>
    <row r="82" spans="1:4" ht="29" x14ac:dyDescent="0.35">
      <c r="A82" s="47" t="s">
        <v>2135</v>
      </c>
      <c r="B82" s="34" t="s">
        <v>96</v>
      </c>
    </row>
    <row r="83" spans="1:4" ht="29" x14ac:dyDescent="0.35">
      <c r="A83" s="47" t="s">
        <v>2136</v>
      </c>
      <c r="B83" s="34" t="s">
        <v>96</v>
      </c>
    </row>
    <row r="85" spans="1:4" ht="29" x14ac:dyDescent="0.35">
      <c r="A85" s="178" t="s">
        <v>2154</v>
      </c>
      <c r="B85" s="179" t="s">
        <v>2155</v>
      </c>
      <c r="C85" s="179" t="s">
        <v>2156</v>
      </c>
      <c r="D85" s="183" t="s">
        <v>2157</v>
      </c>
    </row>
    <row r="86" spans="1:4" ht="87.5" customHeight="1" x14ac:dyDescent="0.35">
      <c r="A86" s="182" t="s">
        <v>2167</v>
      </c>
      <c r="B86" s="180"/>
      <c r="C86" s="181" t="s">
        <v>2168</v>
      </c>
      <c r="D86" s="180"/>
    </row>
  </sheetData>
  <mergeCells count="2">
    <mergeCell ref="A1:G1"/>
    <mergeCell ref="A2:G2"/>
  </mergeCells>
  <pageMargins left="0.7" right="0.7" top="0.75" bottom="0.75" header="0.3" footer="0.3"/>
  <pageSetup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EEC8F-8EF0-4DB0-A4DD-104E7EEDF862}">
  <dimension ref="A1:H73"/>
  <sheetViews>
    <sheetView showGridLines="0" workbookViewId="0">
      <pane ySplit="4" topLeftCell="A73" activePane="bottomLeft" state="frozen"/>
      <selection activeCell="A2" sqref="A2:XFD2"/>
      <selection pane="bottomLeft" activeCell="B73" sqref="B73:D73"/>
    </sheetView>
  </sheetViews>
  <sheetFormatPr defaultRowHeight="14.5" x14ac:dyDescent="0.35"/>
  <cols>
    <col min="1" max="1" width="50.453125" customWidth="1"/>
    <col min="2" max="2" width="23.90625" customWidth="1"/>
    <col min="3" max="3" width="26.6328125" customWidth="1"/>
    <col min="4" max="4" width="22.3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17</v>
      </c>
      <c r="B1" s="151"/>
      <c r="C1" s="151"/>
      <c r="D1" s="151"/>
      <c r="E1" s="151"/>
      <c r="F1" s="151"/>
      <c r="G1" s="151"/>
      <c r="H1" s="50" t="str">
        <f>HYPERLINK("[EDEL_Portfolio Monthly Notes 31-Oct-2022.xlsx]Index!A1","Index")</f>
        <v>Index</v>
      </c>
    </row>
    <row r="2" spans="1:8" ht="31" customHeight="1" x14ac:dyDescent="0.35">
      <c r="A2" s="151" t="s">
        <v>18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471</v>
      </c>
      <c r="B11" s="30" t="s">
        <v>472</v>
      </c>
      <c r="C11" s="30" t="s">
        <v>157</v>
      </c>
      <c r="D11" s="13">
        <v>83700000</v>
      </c>
      <c r="E11" s="14">
        <v>82379.63</v>
      </c>
      <c r="F11" s="15">
        <v>0.1062</v>
      </c>
      <c r="G11" s="15">
        <v>7.7198000000000003E-2</v>
      </c>
    </row>
    <row r="12" spans="1:8" x14ac:dyDescent="0.35">
      <c r="A12" s="12" t="s">
        <v>473</v>
      </c>
      <c r="B12" s="30" t="s">
        <v>474</v>
      </c>
      <c r="C12" s="30" t="s">
        <v>141</v>
      </c>
      <c r="D12" s="13">
        <v>84500000</v>
      </c>
      <c r="E12" s="14">
        <v>79401.19</v>
      </c>
      <c r="F12" s="15">
        <v>0.1024</v>
      </c>
      <c r="G12" s="15">
        <v>7.6600000000000001E-2</v>
      </c>
    </row>
    <row r="13" spans="1:8" x14ac:dyDescent="0.35">
      <c r="A13" s="12" t="s">
        <v>475</v>
      </c>
      <c r="B13" s="30" t="s">
        <v>476</v>
      </c>
      <c r="C13" s="30" t="s">
        <v>141</v>
      </c>
      <c r="D13" s="13">
        <v>82000000</v>
      </c>
      <c r="E13" s="14">
        <v>77620.05</v>
      </c>
      <c r="F13" s="15">
        <v>0.10009999999999999</v>
      </c>
      <c r="G13" s="15">
        <v>7.6850000000000002E-2</v>
      </c>
    </row>
    <row r="14" spans="1:8" x14ac:dyDescent="0.35">
      <c r="A14" s="12" t="s">
        <v>477</v>
      </c>
      <c r="B14" s="30" t="s">
        <v>478</v>
      </c>
      <c r="C14" s="30" t="s">
        <v>141</v>
      </c>
      <c r="D14" s="13">
        <v>80000000</v>
      </c>
      <c r="E14" s="14">
        <v>75938.720000000001</v>
      </c>
      <c r="F14" s="15">
        <v>9.7900000000000001E-2</v>
      </c>
      <c r="G14" s="15">
        <v>7.6950000000000005E-2</v>
      </c>
    </row>
    <row r="15" spans="1:8" x14ac:dyDescent="0.35">
      <c r="A15" s="12" t="s">
        <v>479</v>
      </c>
      <c r="B15" s="30" t="s">
        <v>480</v>
      </c>
      <c r="C15" s="30" t="s">
        <v>141</v>
      </c>
      <c r="D15" s="13">
        <v>80000000</v>
      </c>
      <c r="E15" s="14">
        <v>75888.479999999996</v>
      </c>
      <c r="F15" s="15">
        <v>9.7799999999999998E-2</v>
      </c>
      <c r="G15" s="15">
        <v>7.6999999999999999E-2</v>
      </c>
    </row>
    <row r="16" spans="1:8" x14ac:dyDescent="0.35">
      <c r="A16" s="12" t="s">
        <v>481</v>
      </c>
      <c r="B16" s="30" t="s">
        <v>482</v>
      </c>
      <c r="C16" s="30" t="s">
        <v>141</v>
      </c>
      <c r="D16" s="13">
        <v>75000000</v>
      </c>
      <c r="E16" s="14">
        <v>71154.679999999993</v>
      </c>
      <c r="F16" s="15">
        <v>9.1700000000000004E-2</v>
      </c>
      <c r="G16" s="15">
        <v>7.6550000000000007E-2</v>
      </c>
    </row>
    <row r="17" spans="1:7" x14ac:dyDescent="0.35">
      <c r="A17" s="12" t="s">
        <v>483</v>
      </c>
      <c r="B17" s="30" t="s">
        <v>484</v>
      </c>
      <c r="C17" s="30" t="s">
        <v>141</v>
      </c>
      <c r="D17" s="13">
        <v>50500000</v>
      </c>
      <c r="E17" s="14">
        <v>50691.55</v>
      </c>
      <c r="F17" s="15">
        <v>6.54E-2</v>
      </c>
      <c r="G17" s="15">
        <v>7.7248999999999998E-2</v>
      </c>
    </row>
    <row r="18" spans="1:7" x14ac:dyDescent="0.35">
      <c r="A18" s="12" t="s">
        <v>485</v>
      </c>
      <c r="B18" s="30" t="s">
        <v>486</v>
      </c>
      <c r="C18" s="30" t="s">
        <v>141</v>
      </c>
      <c r="D18" s="13">
        <v>50000000</v>
      </c>
      <c r="E18" s="14">
        <v>47155.8</v>
      </c>
      <c r="F18" s="15">
        <v>6.08E-2</v>
      </c>
      <c r="G18" s="15">
        <v>7.7100000000000002E-2</v>
      </c>
    </row>
    <row r="19" spans="1:7" x14ac:dyDescent="0.35">
      <c r="A19" s="12" t="s">
        <v>487</v>
      </c>
      <c r="B19" s="30" t="s">
        <v>488</v>
      </c>
      <c r="C19" s="30" t="s">
        <v>141</v>
      </c>
      <c r="D19" s="13">
        <v>39500000</v>
      </c>
      <c r="E19" s="14">
        <v>39734.47</v>
      </c>
      <c r="F19" s="15">
        <v>5.1200000000000002E-2</v>
      </c>
      <c r="G19" s="15">
        <v>7.7122999999999997E-2</v>
      </c>
    </row>
    <row r="20" spans="1:7" x14ac:dyDescent="0.35">
      <c r="A20" s="12" t="s">
        <v>489</v>
      </c>
      <c r="B20" s="30" t="s">
        <v>490</v>
      </c>
      <c r="C20" s="30" t="s">
        <v>141</v>
      </c>
      <c r="D20" s="13">
        <v>38000000</v>
      </c>
      <c r="E20" s="14">
        <v>35813.629999999997</v>
      </c>
      <c r="F20" s="15">
        <v>4.6199999999999998E-2</v>
      </c>
      <c r="G20" s="15">
        <v>7.7299999999999994E-2</v>
      </c>
    </row>
    <row r="21" spans="1:7" x14ac:dyDescent="0.35">
      <c r="A21" s="12" t="s">
        <v>491</v>
      </c>
      <c r="B21" s="30" t="s">
        <v>492</v>
      </c>
      <c r="C21" s="30" t="s">
        <v>141</v>
      </c>
      <c r="D21" s="13">
        <v>16500000</v>
      </c>
      <c r="E21" s="14">
        <v>15736.73</v>
      </c>
      <c r="F21" s="15">
        <v>2.0299999999999999E-2</v>
      </c>
      <c r="G21" s="15">
        <v>7.6550000000000007E-2</v>
      </c>
    </row>
    <row r="22" spans="1:7" x14ac:dyDescent="0.35">
      <c r="A22" s="12" t="s">
        <v>493</v>
      </c>
      <c r="B22" s="30" t="s">
        <v>494</v>
      </c>
      <c r="C22" s="30" t="s">
        <v>141</v>
      </c>
      <c r="D22" s="13">
        <v>14000000</v>
      </c>
      <c r="E22" s="14">
        <v>13331.58</v>
      </c>
      <c r="F22" s="15">
        <v>1.72E-2</v>
      </c>
      <c r="G22" s="15">
        <v>7.6550000000000007E-2</v>
      </c>
    </row>
    <row r="23" spans="1:7" x14ac:dyDescent="0.35">
      <c r="A23" s="12" t="s">
        <v>495</v>
      </c>
      <c r="B23" s="30" t="s">
        <v>496</v>
      </c>
      <c r="C23" s="30" t="s">
        <v>141</v>
      </c>
      <c r="D23" s="13">
        <v>10000000</v>
      </c>
      <c r="E23" s="14">
        <v>9791</v>
      </c>
      <c r="F23" s="15">
        <v>1.26E-2</v>
      </c>
      <c r="G23" s="15">
        <v>7.7100000000000002E-2</v>
      </c>
    </row>
    <row r="24" spans="1:7" x14ac:dyDescent="0.35">
      <c r="A24" s="12" t="s">
        <v>497</v>
      </c>
      <c r="B24" s="30" t="s">
        <v>498</v>
      </c>
      <c r="C24" s="30" t="s">
        <v>141</v>
      </c>
      <c r="D24" s="13">
        <v>8000000</v>
      </c>
      <c r="E24" s="14">
        <v>7518.59</v>
      </c>
      <c r="F24" s="15">
        <v>9.7000000000000003E-3</v>
      </c>
      <c r="G24" s="15">
        <v>7.6450000000000004E-2</v>
      </c>
    </row>
    <row r="25" spans="1:7" x14ac:dyDescent="0.35">
      <c r="A25" s="12" t="s">
        <v>499</v>
      </c>
      <c r="B25" s="30" t="s">
        <v>500</v>
      </c>
      <c r="C25" s="30" t="s">
        <v>141</v>
      </c>
      <c r="D25" s="13">
        <v>3500000</v>
      </c>
      <c r="E25" s="14">
        <v>3440.8</v>
      </c>
      <c r="F25" s="15">
        <v>4.4000000000000003E-3</v>
      </c>
      <c r="G25" s="15">
        <v>7.6999999999999999E-2</v>
      </c>
    </row>
    <row r="26" spans="1:7" x14ac:dyDescent="0.35">
      <c r="A26" s="12" t="s">
        <v>501</v>
      </c>
      <c r="B26" s="30" t="s">
        <v>502</v>
      </c>
      <c r="C26" s="30" t="s">
        <v>157</v>
      </c>
      <c r="D26" s="13">
        <v>1000000</v>
      </c>
      <c r="E26" s="14">
        <v>1032.53</v>
      </c>
      <c r="F26" s="15">
        <v>1.2999999999999999E-3</v>
      </c>
      <c r="G26" s="15">
        <v>7.6999999999999999E-2</v>
      </c>
    </row>
    <row r="27" spans="1:7" x14ac:dyDescent="0.35">
      <c r="A27" s="16" t="s">
        <v>102</v>
      </c>
      <c r="B27" s="31"/>
      <c r="C27" s="31"/>
      <c r="D27" s="17"/>
      <c r="E27" s="18">
        <v>686629.43</v>
      </c>
      <c r="F27" s="19">
        <v>0.88519999999999999</v>
      </c>
      <c r="G27" s="20"/>
    </row>
    <row r="28" spans="1:7" x14ac:dyDescent="0.35">
      <c r="A28" s="12"/>
      <c r="B28" s="30"/>
      <c r="C28" s="30"/>
      <c r="D28" s="13"/>
      <c r="E28" s="14"/>
      <c r="F28" s="15"/>
      <c r="G28" s="15"/>
    </row>
    <row r="29" spans="1:7" x14ac:dyDescent="0.35">
      <c r="A29" s="16" t="s">
        <v>403</v>
      </c>
      <c r="B29" s="30"/>
      <c r="C29" s="30"/>
      <c r="D29" s="13"/>
      <c r="E29" s="14"/>
      <c r="F29" s="15"/>
      <c r="G29" s="15"/>
    </row>
    <row r="30" spans="1:7" x14ac:dyDescent="0.35">
      <c r="A30" s="12" t="s">
        <v>503</v>
      </c>
      <c r="B30" s="30" t="s">
        <v>504</v>
      </c>
      <c r="C30" s="30" t="s">
        <v>101</v>
      </c>
      <c r="D30" s="13">
        <v>51500000</v>
      </c>
      <c r="E30" s="14">
        <v>48307.15</v>
      </c>
      <c r="F30" s="15">
        <v>6.2300000000000001E-2</v>
      </c>
      <c r="G30" s="15">
        <v>7.4812000000000003E-2</v>
      </c>
    </row>
    <row r="31" spans="1:7" x14ac:dyDescent="0.35">
      <c r="A31" s="16" t="s">
        <v>102</v>
      </c>
      <c r="B31" s="31"/>
      <c r="C31" s="31"/>
      <c r="D31" s="17"/>
      <c r="E31" s="18">
        <v>48307.15</v>
      </c>
      <c r="F31" s="19">
        <v>6.2300000000000001E-2</v>
      </c>
      <c r="G31" s="20"/>
    </row>
    <row r="32" spans="1:7" x14ac:dyDescent="0.35">
      <c r="A32" s="12"/>
      <c r="B32" s="30"/>
      <c r="C32" s="30"/>
      <c r="D32" s="13"/>
      <c r="E32" s="14"/>
      <c r="F32" s="15"/>
      <c r="G32" s="15"/>
    </row>
    <row r="33" spans="1:7" x14ac:dyDescent="0.35">
      <c r="A33" s="16" t="s">
        <v>192</v>
      </c>
      <c r="B33" s="30"/>
      <c r="C33" s="30"/>
      <c r="D33" s="13"/>
      <c r="E33" s="14"/>
      <c r="F33" s="15"/>
      <c r="G33" s="15"/>
    </row>
    <row r="34" spans="1:7" x14ac:dyDescent="0.35">
      <c r="A34" s="16" t="s">
        <v>102</v>
      </c>
      <c r="B34" s="30"/>
      <c r="C34" s="30"/>
      <c r="D34" s="13"/>
      <c r="E34" s="35" t="s">
        <v>96</v>
      </c>
      <c r="F34" s="36" t="s">
        <v>96</v>
      </c>
      <c r="G34" s="15"/>
    </row>
    <row r="35" spans="1:7" x14ac:dyDescent="0.35">
      <c r="A35" s="12"/>
      <c r="B35" s="30"/>
      <c r="C35" s="30"/>
      <c r="D35" s="13"/>
      <c r="E35" s="14"/>
      <c r="F35" s="15"/>
      <c r="G35" s="15"/>
    </row>
    <row r="36" spans="1:7" x14ac:dyDescent="0.35">
      <c r="A36" s="16" t="s">
        <v>193</v>
      </c>
      <c r="B36" s="30"/>
      <c r="C36" s="30"/>
      <c r="D36" s="13"/>
      <c r="E36" s="14"/>
      <c r="F36" s="15"/>
      <c r="G36" s="15"/>
    </row>
    <row r="37" spans="1:7" x14ac:dyDescent="0.35">
      <c r="A37" s="16" t="s">
        <v>102</v>
      </c>
      <c r="B37" s="30"/>
      <c r="C37" s="30"/>
      <c r="D37" s="13"/>
      <c r="E37" s="35" t="s">
        <v>96</v>
      </c>
      <c r="F37" s="36" t="s">
        <v>96</v>
      </c>
      <c r="G37" s="15"/>
    </row>
    <row r="38" spans="1:7" x14ac:dyDescent="0.35">
      <c r="A38" s="12"/>
      <c r="B38" s="30"/>
      <c r="C38" s="30"/>
      <c r="D38" s="13"/>
      <c r="E38" s="14"/>
      <c r="F38" s="15"/>
      <c r="G38" s="15"/>
    </row>
    <row r="39" spans="1:7" x14ac:dyDescent="0.35">
      <c r="A39" s="21" t="s">
        <v>129</v>
      </c>
      <c r="B39" s="32"/>
      <c r="C39" s="32"/>
      <c r="D39" s="22"/>
      <c r="E39" s="18">
        <v>734936.58</v>
      </c>
      <c r="F39" s="19">
        <v>0.94750000000000001</v>
      </c>
      <c r="G39" s="20"/>
    </row>
    <row r="40" spans="1:7" x14ac:dyDescent="0.35">
      <c r="A40" s="12"/>
      <c r="B40" s="30"/>
      <c r="C40" s="30"/>
      <c r="D40" s="13"/>
      <c r="E40" s="14"/>
      <c r="F40" s="15"/>
      <c r="G40" s="15"/>
    </row>
    <row r="41" spans="1:7" x14ac:dyDescent="0.35">
      <c r="A41" s="12"/>
      <c r="B41" s="30"/>
      <c r="C41" s="30"/>
      <c r="D41" s="13"/>
      <c r="E41" s="14"/>
      <c r="F41" s="15"/>
      <c r="G41" s="15"/>
    </row>
    <row r="42" spans="1:7" x14ac:dyDescent="0.35">
      <c r="A42" s="16" t="s">
        <v>130</v>
      </c>
      <c r="B42" s="30"/>
      <c r="C42" s="30"/>
      <c r="D42" s="13"/>
      <c r="E42" s="14"/>
      <c r="F42" s="15"/>
      <c r="G42" s="15"/>
    </row>
    <row r="43" spans="1:7" x14ac:dyDescent="0.35">
      <c r="A43" s="12" t="s">
        <v>131</v>
      </c>
      <c r="B43" s="30"/>
      <c r="C43" s="30"/>
      <c r="D43" s="13"/>
      <c r="E43" s="14">
        <v>8078.65</v>
      </c>
      <c r="F43" s="15">
        <v>1.04E-2</v>
      </c>
      <c r="G43" s="61">
        <v>6.1074000000000003E-2</v>
      </c>
    </row>
    <row r="44" spans="1:7" x14ac:dyDescent="0.35">
      <c r="A44" s="16" t="s">
        <v>102</v>
      </c>
      <c r="B44" s="31"/>
      <c r="C44" s="31"/>
      <c r="D44" s="17"/>
      <c r="E44" s="18">
        <v>8078.65</v>
      </c>
      <c r="F44" s="19">
        <v>1.04E-2</v>
      </c>
      <c r="G44" s="62"/>
    </row>
    <row r="45" spans="1:7" x14ac:dyDescent="0.35">
      <c r="A45" s="12"/>
      <c r="B45" s="30"/>
      <c r="C45" s="30"/>
      <c r="D45" s="13"/>
      <c r="E45" s="14"/>
      <c r="F45" s="15"/>
      <c r="G45" s="61"/>
    </row>
    <row r="46" spans="1:7" x14ac:dyDescent="0.35">
      <c r="A46" s="21" t="s">
        <v>129</v>
      </c>
      <c r="B46" s="32"/>
      <c r="C46" s="32"/>
      <c r="D46" s="22"/>
      <c r="E46" s="18">
        <v>8078.65</v>
      </c>
      <c r="F46" s="19">
        <v>1.04E-2</v>
      </c>
      <c r="G46" s="62"/>
    </row>
    <row r="47" spans="1:7" x14ac:dyDescent="0.35">
      <c r="A47" s="12" t="s">
        <v>132</v>
      </c>
      <c r="B47" s="30"/>
      <c r="C47" s="30"/>
      <c r="D47" s="13"/>
      <c r="E47" s="14">
        <v>32579.305749899999</v>
      </c>
      <c r="F47" s="15">
        <v>4.2001999999999998E-2</v>
      </c>
      <c r="G47" s="61"/>
    </row>
    <row r="48" spans="1:7" x14ac:dyDescent="0.35">
      <c r="A48" s="12" t="s">
        <v>133</v>
      </c>
      <c r="B48" s="30"/>
      <c r="C48" s="30"/>
      <c r="D48" s="13"/>
      <c r="E48" s="14">
        <v>52.544250099999999</v>
      </c>
      <c r="F48" s="15">
        <v>9.7999999999999997E-5</v>
      </c>
      <c r="G48" s="61">
        <v>6.1074000000000003E-2</v>
      </c>
    </row>
    <row r="49" spans="1:7" x14ac:dyDescent="0.35">
      <c r="A49" s="25" t="s">
        <v>134</v>
      </c>
      <c r="B49" s="33"/>
      <c r="C49" s="33"/>
      <c r="D49" s="26"/>
      <c r="E49" s="27">
        <v>775647.08</v>
      </c>
      <c r="F49" s="28">
        <v>1</v>
      </c>
      <c r="G49" s="28"/>
    </row>
    <row r="51" spans="1:7" x14ac:dyDescent="0.35">
      <c r="A51" s="1" t="s">
        <v>136</v>
      </c>
    </row>
    <row r="54" spans="1:7" x14ac:dyDescent="0.35">
      <c r="A54" s="1" t="s">
        <v>1981</v>
      </c>
    </row>
    <row r="55" spans="1:7" x14ac:dyDescent="0.35">
      <c r="A55" s="47" t="s">
        <v>1982</v>
      </c>
      <c r="B55" s="34" t="s">
        <v>96</v>
      </c>
    </row>
    <row r="56" spans="1:7" x14ac:dyDescent="0.35">
      <c r="A56" t="s">
        <v>1983</v>
      </c>
    </row>
    <row r="57" spans="1:7" x14ac:dyDescent="0.35">
      <c r="A57" t="s">
        <v>2007</v>
      </c>
      <c r="B57" t="s">
        <v>1985</v>
      </c>
      <c r="C57" t="s">
        <v>1985</v>
      </c>
    </row>
    <row r="58" spans="1:7" x14ac:dyDescent="0.35">
      <c r="B58" s="48">
        <v>44834</v>
      </c>
      <c r="C58" s="48">
        <v>44865</v>
      </c>
    </row>
    <row r="59" spans="1:7" x14ac:dyDescent="0.35">
      <c r="A59" t="s">
        <v>2008</v>
      </c>
      <c r="B59">
        <v>1003.5227</v>
      </c>
      <c r="C59">
        <v>1010.0076</v>
      </c>
      <c r="E59" s="2"/>
      <c r="G59"/>
    </row>
    <row r="60" spans="1:7" x14ac:dyDescent="0.35">
      <c r="E60" s="2"/>
      <c r="G60"/>
    </row>
    <row r="61" spans="1:7" x14ac:dyDescent="0.35">
      <c r="A61" t="s">
        <v>2000</v>
      </c>
      <c r="B61" s="34" t="s">
        <v>96</v>
      </c>
    </row>
    <row r="62" spans="1:7" x14ac:dyDescent="0.35">
      <c r="A62" t="s">
        <v>2001</v>
      </c>
      <c r="B62" s="34" t="s">
        <v>96</v>
      </c>
    </row>
    <row r="63" spans="1:7" ht="29" x14ac:dyDescent="0.35">
      <c r="A63" s="47" t="s">
        <v>2002</v>
      </c>
      <c r="B63" s="34" t="s">
        <v>96</v>
      </c>
    </row>
    <row r="64" spans="1:7" ht="29" x14ac:dyDescent="0.35">
      <c r="A64" s="47" t="s">
        <v>2003</v>
      </c>
      <c r="B64" s="34" t="s">
        <v>96</v>
      </c>
    </row>
    <row r="65" spans="1:4" x14ac:dyDescent="0.35">
      <c r="A65" t="s">
        <v>2004</v>
      </c>
      <c r="B65" s="49">
        <v>9.2945352268155297</v>
      </c>
    </row>
    <row r="66" spans="1:4" ht="43.5" x14ac:dyDescent="0.35">
      <c r="A66" s="47" t="s">
        <v>2005</v>
      </c>
      <c r="B66" s="34" t="s">
        <v>96</v>
      </c>
    </row>
    <row r="67" spans="1:4" ht="29" x14ac:dyDescent="0.35">
      <c r="A67" s="47" t="s">
        <v>2006</v>
      </c>
      <c r="B67" s="34" t="s">
        <v>96</v>
      </c>
    </row>
    <row r="68" spans="1:4" ht="29" x14ac:dyDescent="0.35">
      <c r="A68" s="47" t="s">
        <v>2009</v>
      </c>
      <c r="B68" s="49">
        <f>EDFF32!E11</f>
        <v>223094.81</v>
      </c>
    </row>
    <row r="69" spans="1:4" ht="29" x14ac:dyDescent="0.35">
      <c r="A69" s="47" t="s">
        <v>2135</v>
      </c>
      <c r="B69" s="34" t="s">
        <v>96</v>
      </c>
    </row>
    <row r="70" spans="1:4" ht="29" x14ac:dyDescent="0.35">
      <c r="A70" s="47" t="s">
        <v>2136</v>
      </c>
      <c r="B70" s="34" t="s">
        <v>96</v>
      </c>
    </row>
    <row r="72" spans="1:4" ht="29" x14ac:dyDescent="0.35">
      <c r="A72" s="184" t="s">
        <v>2154</v>
      </c>
      <c r="B72" s="185" t="s">
        <v>2155</v>
      </c>
      <c r="C72" s="185" t="s">
        <v>2156</v>
      </c>
      <c r="D72" s="189" t="s">
        <v>2157</v>
      </c>
    </row>
    <row r="73" spans="1:4" ht="63" customHeight="1" x14ac:dyDescent="0.35">
      <c r="A73" s="188" t="s">
        <v>2169</v>
      </c>
      <c r="B73" s="187"/>
      <c r="C73" s="186" t="s">
        <v>2170</v>
      </c>
      <c r="D73" s="187"/>
    </row>
  </sheetData>
  <mergeCells count="2">
    <mergeCell ref="A1:G1"/>
    <mergeCell ref="A2:G2"/>
  </mergeCells>
  <pageMargins left="0.7" right="0.7" top="0.75" bottom="0.75" header="0.3" footer="0.3"/>
  <pageSetup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AAD8-B12E-4339-AC5A-207D59FF484B}">
  <dimension ref="A1:H100"/>
  <sheetViews>
    <sheetView showGridLines="0" workbookViewId="0">
      <pane ySplit="4" topLeftCell="A100" activePane="bottomLeft" state="frozen"/>
      <selection activeCell="A2" sqref="A2:XFD2"/>
      <selection pane="bottomLeft" activeCell="B100" sqref="B100:F100"/>
    </sheetView>
  </sheetViews>
  <sheetFormatPr defaultRowHeight="14.5" x14ac:dyDescent="0.35"/>
  <cols>
    <col min="1" max="1" width="50.453125" customWidth="1"/>
    <col min="2" max="2" width="24.1796875" customWidth="1"/>
    <col min="3" max="3" width="26.6328125" customWidth="1"/>
    <col min="4" max="4" width="21.26953125" customWidth="1"/>
    <col min="5" max="5" width="16.453125" customWidth="1"/>
    <col min="6" max="6" width="21.72656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19</v>
      </c>
      <c r="B1" s="151"/>
      <c r="C1" s="151"/>
      <c r="D1" s="151"/>
      <c r="E1" s="151"/>
      <c r="F1" s="151"/>
      <c r="G1" s="151"/>
      <c r="H1" s="50" t="str">
        <f>HYPERLINK("[EDEL_Portfolio Monthly Notes 31-Oct-2022.xlsx]Index!A1","Index")</f>
        <v>Index</v>
      </c>
    </row>
    <row r="2" spans="1:8" ht="31" customHeight="1" x14ac:dyDescent="0.35">
      <c r="A2" s="151" t="s">
        <v>20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505</v>
      </c>
      <c r="B11" s="30" t="s">
        <v>506</v>
      </c>
      <c r="C11" s="30" t="s">
        <v>148</v>
      </c>
      <c r="D11" s="13">
        <v>3000000</v>
      </c>
      <c r="E11" s="14">
        <v>3127.37</v>
      </c>
      <c r="F11" s="15">
        <v>8.7400000000000005E-2</v>
      </c>
      <c r="G11" s="15">
        <v>7.6610999999999999E-2</v>
      </c>
    </row>
    <row r="12" spans="1:8" x14ac:dyDescent="0.35">
      <c r="A12" s="12" t="s">
        <v>336</v>
      </c>
      <c r="B12" s="30" t="s">
        <v>337</v>
      </c>
      <c r="C12" s="30" t="s">
        <v>141</v>
      </c>
      <c r="D12" s="13">
        <v>3000000</v>
      </c>
      <c r="E12" s="14">
        <v>2976.67</v>
      </c>
      <c r="F12" s="15">
        <v>8.3199999999999996E-2</v>
      </c>
      <c r="G12" s="15">
        <v>7.6249999999999998E-2</v>
      </c>
    </row>
    <row r="13" spans="1:8" x14ac:dyDescent="0.35">
      <c r="A13" s="12" t="s">
        <v>319</v>
      </c>
      <c r="B13" s="30" t="s">
        <v>320</v>
      </c>
      <c r="C13" s="30" t="s">
        <v>321</v>
      </c>
      <c r="D13" s="13">
        <v>3000000</v>
      </c>
      <c r="E13" s="14">
        <v>2961.18</v>
      </c>
      <c r="F13" s="15">
        <v>8.2799999999999999E-2</v>
      </c>
      <c r="G13" s="15">
        <v>7.6550000000000007E-2</v>
      </c>
    </row>
    <row r="14" spans="1:8" x14ac:dyDescent="0.35">
      <c r="A14" s="12" t="s">
        <v>371</v>
      </c>
      <c r="B14" s="30" t="s">
        <v>372</v>
      </c>
      <c r="C14" s="30" t="s">
        <v>141</v>
      </c>
      <c r="D14" s="13">
        <v>2500000</v>
      </c>
      <c r="E14" s="14">
        <v>2584.09</v>
      </c>
      <c r="F14" s="15">
        <v>7.22E-2</v>
      </c>
      <c r="G14" s="15">
        <v>7.5899999999999995E-2</v>
      </c>
    </row>
    <row r="15" spans="1:8" x14ac:dyDescent="0.35">
      <c r="A15" s="12" t="s">
        <v>345</v>
      </c>
      <c r="B15" s="30" t="s">
        <v>346</v>
      </c>
      <c r="C15" s="30" t="s">
        <v>141</v>
      </c>
      <c r="D15" s="13">
        <v>1850000</v>
      </c>
      <c r="E15" s="14">
        <v>1956</v>
      </c>
      <c r="F15" s="15">
        <v>5.4699999999999999E-2</v>
      </c>
      <c r="G15" s="15">
        <v>7.6749999999999999E-2</v>
      </c>
    </row>
    <row r="16" spans="1:8" x14ac:dyDescent="0.35">
      <c r="A16" s="12" t="s">
        <v>301</v>
      </c>
      <c r="B16" s="30" t="s">
        <v>302</v>
      </c>
      <c r="C16" s="30" t="s">
        <v>141</v>
      </c>
      <c r="D16" s="13">
        <v>1990000</v>
      </c>
      <c r="E16" s="14">
        <v>1918.58</v>
      </c>
      <c r="F16" s="15">
        <v>5.3600000000000002E-2</v>
      </c>
      <c r="G16" s="15">
        <v>7.6724000000000001E-2</v>
      </c>
    </row>
    <row r="17" spans="1:7" x14ac:dyDescent="0.35">
      <c r="A17" s="12" t="s">
        <v>338</v>
      </c>
      <c r="B17" s="30" t="s">
        <v>339</v>
      </c>
      <c r="C17" s="30" t="s">
        <v>340</v>
      </c>
      <c r="D17" s="13">
        <v>1900000</v>
      </c>
      <c r="E17" s="14">
        <v>1896.42</v>
      </c>
      <c r="F17" s="15">
        <v>5.2999999999999999E-2</v>
      </c>
      <c r="G17" s="15">
        <v>7.6700000000000004E-2</v>
      </c>
    </row>
    <row r="18" spans="1:7" x14ac:dyDescent="0.35">
      <c r="A18" s="12" t="s">
        <v>326</v>
      </c>
      <c r="B18" s="30" t="s">
        <v>327</v>
      </c>
      <c r="C18" s="30" t="s">
        <v>141</v>
      </c>
      <c r="D18" s="13">
        <v>1300000</v>
      </c>
      <c r="E18" s="14">
        <v>1289.3399999999999</v>
      </c>
      <c r="F18" s="15">
        <v>3.5999999999999997E-2</v>
      </c>
      <c r="G18" s="15">
        <v>7.6399999999999996E-2</v>
      </c>
    </row>
    <row r="19" spans="1:7" x14ac:dyDescent="0.35">
      <c r="A19" s="12" t="s">
        <v>507</v>
      </c>
      <c r="B19" s="30" t="s">
        <v>508</v>
      </c>
      <c r="C19" s="30" t="s">
        <v>141</v>
      </c>
      <c r="D19" s="13">
        <v>1000000</v>
      </c>
      <c r="E19" s="14">
        <v>1063.3</v>
      </c>
      <c r="F19" s="15">
        <v>2.9700000000000001E-2</v>
      </c>
      <c r="G19" s="15">
        <v>7.6300000000000007E-2</v>
      </c>
    </row>
    <row r="20" spans="1:7" x14ac:dyDescent="0.35">
      <c r="A20" s="12" t="s">
        <v>509</v>
      </c>
      <c r="B20" s="30" t="s">
        <v>510</v>
      </c>
      <c r="C20" s="30" t="s">
        <v>141</v>
      </c>
      <c r="D20" s="13">
        <v>1000000</v>
      </c>
      <c r="E20" s="14">
        <v>1030.74</v>
      </c>
      <c r="F20" s="15">
        <v>2.8799999999999999E-2</v>
      </c>
      <c r="G20" s="15">
        <v>7.6552999999999996E-2</v>
      </c>
    </row>
    <row r="21" spans="1:7" x14ac:dyDescent="0.35">
      <c r="A21" s="12" t="s">
        <v>341</v>
      </c>
      <c r="B21" s="30" t="s">
        <v>342</v>
      </c>
      <c r="C21" s="30" t="s">
        <v>157</v>
      </c>
      <c r="D21" s="13">
        <v>1000000</v>
      </c>
      <c r="E21" s="14">
        <v>1030.67</v>
      </c>
      <c r="F21" s="15">
        <v>2.8799999999999999E-2</v>
      </c>
      <c r="G21" s="15">
        <v>7.6503000000000002E-2</v>
      </c>
    </row>
    <row r="22" spans="1:7" x14ac:dyDescent="0.35">
      <c r="A22" s="12" t="s">
        <v>511</v>
      </c>
      <c r="B22" s="30" t="s">
        <v>512</v>
      </c>
      <c r="C22" s="30" t="s">
        <v>141</v>
      </c>
      <c r="D22" s="13">
        <v>1000000</v>
      </c>
      <c r="E22" s="14">
        <v>1030.26</v>
      </c>
      <c r="F22" s="15">
        <v>2.8799999999999999E-2</v>
      </c>
      <c r="G22" s="15">
        <v>7.6399999999999996E-2</v>
      </c>
    </row>
    <row r="23" spans="1:7" x14ac:dyDescent="0.35">
      <c r="A23" s="12" t="s">
        <v>355</v>
      </c>
      <c r="B23" s="30" t="s">
        <v>356</v>
      </c>
      <c r="C23" s="30" t="s">
        <v>148</v>
      </c>
      <c r="D23" s="13">
        <v>1000000</v>
      </c>
      <c r="E23" s="14">
        <v>1018.81</v>
      </c>
      <c r="F23" s="15">
        <v>2.8500000000000001E-2</v>
      </c>
      <c r="G23" s="15">
        <v>7.6999999999999999E-2</v>
      </c>
    </row>
    <row r="24" spans="1:7" x14ac:dyDescent="0.35">
      <c r="A24" s="12" t="s">
        <v>397</v>
      </c>
      <c r="B24" s="30" t="s">
        <v>398</v>
      </c>
      <c r="C24" s="30" t="s">
        <v>141</v>
      </c>
      <c r="D24" s="13">
        <v>1000000</v>
      </c>
      <c r="E24" s="14">
        <v>985.43</v>
      </c>
      <c r="F24" s="15">
        <v>2.75E-2</v>
      </c>
      <c r="G24" s="15">
        <v>7.6149999999999995E-2</v>
      </c>
    </row>
    <row r="25" spans="1:7" x14ac:dyDescent="0.35">
      <c r="A25" s="12" t="s">
        <v>303</v>
      </c>
      <c r="B25" s="30" t="s">
        <v>304</v>
      </c>
      <c r="C25" s="30" t="s">
        <v>141</v>
      </c>
      <c r="D25" s="13">
        <v>1000000</v>
      </c>
      <c r="E25" s="14">
        <v>985.24</v>
      </c>
      <c r="F25" s="15">
        <v>2.75E-2</v>
      </c>
      <c r="G25" s="15">
        <v>7.6700000000000004E-2</v>
      </c>
    </row>
    <row r="26" spans="1:7" x14ac:dyDescent="0.35">
      <c r="A26" s="12" t="s">
        <v>322</v>
      </c>
      <c r="B26" s="30" t="s">
        <v>323</v>
      </c>
      <c r="C26" s="30" t="s">
        <v>141</v>
      </c>
      <c r="D26" s="13">
        <v>800000</v>
      </c>
      <c r="E26" s="14">
        <v>791.88</v>
      </c>
      <c r="F26" s="15">
        <v>2.2100000000000002E-2</v>
      </c>
      <c r="G26" s="15">
        <v>7.6749999999999999E-2</v>
      </c>
    </row>
    <row r="27" spans="1:7" x14ac:dyDescent="0.35">
      <c r="A27" s="12" t="s">
        <v>513</v>
      </c>
      <c r="B27" s="30" t="s">
        <v>514</v>
      </c>
      <c r="C27" s="30" t="s">
        <v>340</v>
      </c>
      <c r="D27" s="13">
        <v>500000</v>
      </c>
      <c r="E27" s="14">
        <v>530.79999999999995</v>
      </c>
      <c r="F27" s="15">
        <v>1.4800000000000001E-2</v>
      </c>
      <c r="G27" s="15">
        <v>7.6700000000000004E-2</v>
      </c>
    </row>
    <row r="28" spans="1:7" x14ac:dyDescent="0.35">
      <c r="A28" s="12" t="s">
        <v>515</v>
      </c>
      <c r="B28" s="30" t="s">
        <v>516</v>
      </c>
      <c r="C28" s="30" t="s">
        <v>141</v>
      </c>
      <c r="D28" s="13">
        <v>500000</v>
      </c>
      <c r="E28" s="14">
        <v>523.92999999999995</v>
      </c>
      <c r="F28" s="15">
        <v>1.46E-2</v>
      </c>
      <c r="G28" s="15">
        <v>7.6550000000000007E-2</v>
      </c>
    </row>
    <row r="29" spans="1:7" x14ac:dyDescent="0.35">
      <c r="A29" s="12" t="s">
        <v>517</v>
      </c>
      <c r="B29" s="30" t="s">
        <v>518</v>
      </c>
      <c r="C29" s="30" t="s">
        <v>141</v>
      </c>
      <c r="D29" s="13">
        <v>500000</v>
      </c>
      <c r="E29" s="14">
        <v>517.66</v>
      </c>
      <c r="F29" s="15">
        <v>1.4500000000000001E-2</v>
      </c>
      <c r="G29" s="15">
        <v>7.6776999999999998E-2</v>
      </c>
    </row>
    <row r="30" spans="1:7" x14ac:dyDescent="0.35">
      <c r="A30" s="12" t="s">
        <v>317</v>
      </c>
      <c r="B30" s="30" t="s">
        <v>318</v>
      </c>
      <c r="C30" s="30" t="s">
        <v>141</v>
      </c>
      <c r="D30" s="13">
        <v>500000</v>
      </c>
      <c r="E30" s="14">
        <v>501.4</v>
      </c>
      <c r="F30" s="15">
        <v>1.4E-2</v>
      </c>
      <c r="G30" s="15">
        <v>7.6399999999999996E-2</v>
      </c>
    </row>
    <row r="31" spans="1:7" x14ac:dyDescent="0.35">
      <c r="A31" s="12" t="s">
        <v>519</v>
      </c>
      <c r="B31" s="30" t="s">
        <v>520</v>
      </c>
      <c r="C31" s="30" t="s">
        <v>141</v>
      </c>
      <c r="D31" s="13">
        <v>120000</v>
      </c>
      <c r="E31" s="14">
        <v>128.88</v>
      </c>
      <c r="F31" s="15">
        <v>3.5999999999999999E-3</v>
      </c>
      <c r="G31" s="15">
        <v>7.6249999999999998E-2</v>
      </c>
    </row>
    <row r="32" spans="1:7" x14ac:dyDescent="0.35">
      <c r="A32" s="12" t="s">
        <v>521</v>
      </c>
      <c r="B32" s="30" t="s">
        <v>522</v>
      </c>
      <c r="C32" s="30" t="s">
        <v>141</v>
      </c>
      <c r="D32" s="13">
        <v>10000</v>
      </c>
      <c r="E32" s="14">
        <v>10.35</v>
      </c>
      <c r="F32" s="15">
        <v>2.9999999999999997E-4</v>
      </c>
      <c r="G32" s="15">
        <v>7.9600000000000004E-2</v>
      </c>
    </row>
    <row r="33" spans="1:7" x14ac:dyDescent="0.35">
      <c r="A33" s="16" t="s">
        <v>102</v>
      </c>
      <c r="B33" s="31"/>
      <c r="C33" s="31"/>
      <c r="D33" s="17"/>
      <c r="E33" s="18">
        <v>28859</v>
      </c>
      <c r="F33" s="19">
        <v>0.80640000000000001</v>
      </c>
      <c r="G33" s="20"/>
    </row>
    <row r="34" spans="1:7" x14ac:dyDescent="0.35">
      <c r="A34" s="12"/>
      <c r="B34" s="30"/>
      <c r="C34" s="30"/>
      <c r="D34" s="13"/>
      <c r="E34" s="14"/>
      <c r="F34" s="15"/>
      <c r="G34" s="15"/>
    </row>
    <row r="35" spans="1:7" x14ac:dyDescent="0.35">
      <c r="A35" s="16" t="s">
        <v>403</v>
      </c>
      <c r="B35" s="30"/>
      <c r="C35" s="30"/>
      <c r="D35" s="13"/>
      <c r="E35" s="14"/>
      <c r="F35" s="15"/>
      <c r="G35" s="15"/>
    </row>
    <row r="36" spans="1:7" x14ac:dyDescent="0.35">
      <c r="A36" s="12" t="s">
        <v>404</v>
      </c>
      <c r="B36" s="30" t="s">
        <v>405</v>
      </c>
      <c r="C36" s="30" t="s">
        <v>101</v>
      </c>
      <c r="D36" s="13">
        <v>5000000</v>
      </c>
      <c r="E36" s="14">
        <v>4916.79</v>
      </c>
      <c r="F36" s="15">
        <v>0.13739999999999999</v>
      </c>
      <c r="G36" s="15">
        <v>7.4279999999999999E-2</v>
      </c>
    </row>
    <row r="37" spans="1:7" x14ac:dyDescent="0.35">
      <c r="A37" s="16" t="s">
        <v>102</v>
      </c>
      <c r="B37" s="31"/>
      <c r="C37" s="31"/>
      <c r="D37" s="17"/>
      <c r="E37" s="18">
        <v>4916.79</v>
      </c>
      <c r="F37" s="19">
        <v>0.13739999999999999</v>
      </c>
      <c r="G37" s="20"/>
    </row>
    <row r="38" spans="1:7" x14ac:dyDescent="0.35">
      <c r="A38" s="12"/>
      <c r="B38" s="30"/>
      <c r="C38" s="30"/>
      <c r="D38" s="13"/>
      <c r="E38" s="14"/>
      <c r="F38" s="15"/>
      <c r="G38" s="15"/>
    </row>
    <row r="39" spans="1:7" x14ac:dyDescent="0.35">
      <c r="A39" s="16" t="s">
        <v>192</v>
      </c>
      <c r="B39" s="30"/>
      <c r="C39" s="30"/>
      <c r="D39" s="13"/>
      <c r="E39" s="14"/>
      <c r="F39" s="15"/>
      <c r="G39" s="15"/>
    </row>
    <row r="40" spans="1:7" x14ac:dyDescent="0.35">
      <c r="A40" s="16" t="s">
        <v>102</v>
      </c>
      <c r="B40" s="30"/>
      <c r="C40" s="30"/>
      <c r="D40" s="13"/>
      <c r="E40" s="35" t="s">
        <v>96</v>
      </c>
      <c r="F40" s="36" t="s">
        <v>96</v>
      </c>
      <c r="G40" s="15"/>
    </row>
    <row r="41" spans="1:7" x14ac:dyDescent="0.35">
      <c r="A41" s="12"/>
      <c r="B41" s="30"/>
      <c r="C41" s="30"/>
      <c r="D41" s="13"/>
      <c r="E41" s="14"/>
      <c r="F41" s="15"/>
      <c r="G41" s="15"/>
    </row>
    <row r="42" spans="1:7" x14ac:dyDescent="0.35">
      <c r="A42" s="16" t="s">
        <v>193</v>
      </c>
      <c r="B42" s="30"/>
      <c r="C42" s="30"/>
      <c r="D42" s="13"/>
      <c r="E42" s="14"/>
      <c r="F42" s="15"/>
      <c r="G42" s="15"/>
    </row>
    <row r="43" spans="1:7" x14ac:dyDescent="0.35">
      <c r="A43" s="16" t="s">
        <v>102</v>
      </c>
      <c r="B43" s="30"/>
      <c r="C43" s="30"/>
      <c r="D43" s="13"/>
      <c r="E43" s="35" t="s">
        <v>96</v>
      </c>
      <c r="F43" s="36" t="s">
        <v>96</v>
      </c>
      <c r="G43" s="15"/>
    </row>
    <row r="44" spans="1:7" x14ac:dyDescent="0.35">
      <c r="A44" s="12"/>
      <c r="B44" s="30"/>
      <c r="C44" s="30"/>
      <c r="D44" s="13"/>
      <c r="E44" s="14"/>
      <c r="F44" s="15"/>
      <c r="G44" s="15"/>
    </row>
    <row r="45" spans="1:7" x14ac:dyDescent="0.35">
      <c r="A45" s="21" t="s">
        <v>129</v>
      </c>
      <c r="B45" s="32"/>
      <c r="C45" s="32"/>
      <c r="D45" s="22"/>
      <c r="E45" s="18">
        <v>33775.79</v>
      </c>
      <c r="F45" s="19">
        <v>0.94379999999999997</v>
      </c>
      <c r="G45" s="20"/>
    </row>
    <row r="46" spans="1:7" x14ac:dyDescent="0.35">
      <c r="A46" s="12"/>
      <c r="B46" s="30"/>
      <c r="C46" s="30"/>
      <c r="D46" s="13"/>
      <c r="E46" s="14"/>
      <c r="F46" s="15"/>
      <c r="G46" s="15"/>
    </row>
    <row r="47" spans="1:7" x14ac:dyDescent="0.35">
      <c r="A47" s="12"/>
      <c r="B47" s="30"/>
      <c r="C47" s="30"/>
      <c r="D47" s="13"/>
      <c r="E47" s="14"/>
      <c r="F47" s="15"/>
      <c r="G47" s="15"/>
    </row>
    <row r="48" spans="1:7" x14ac:dyDescent="0.35">
      <c r="A48" s="16" t="s">
        <v>130</v>
      </c>
      <c r="B48" s="30"/>
      <c r="C48" s="30"/>
      <c r="D48" s="13"/>
      <c r="E48" s="14"/>
      <c r="F48" s="15"/>
      <c r="G48" s="15"/>
    </row>
    <row r="49" spans="1:7" x14ac:dyDescent="0.35">
      <c r="A49" s="12" t="s">
        <v>131</v>
      </c>
      <c r="B49" s="30"/>
      <c r="C49" s="30"/>
      <c r="D49" s="13"/>
      <c r="E49" s="14">
        <v>877.85</v>
      </c>
      <c r="F49" s="15">
        <v>2.4500000000000001E-2</v>
      </c>
      <c r="G49" s="63">
        <v>6.1074000000000003E-2</v>
      </c>
    </row>
    <row r="50" spans="1:7" x14ac:dyDescent="0.35">
      <c r="A50" s="16" t="s">
        <v>102</v>
      </c>
      <c r="B50" s="31"/>
      <c r="C50" s="31"/>
      <c r="D50" s="17"/>
      <c r="E50" s="18">
        <v>877.85</v>
      </c>
      <c r="F50" s="19">
        <v>2.4500000000000001E-2</v>
      </c>
      <c r="G50" s="64"/>
    </row>
    <row r="51" spans="1:7" x14ac:dyDescent="0.35">
      <c r="A51" s="12"/>
      <c r="B51" s="30"/>
      <c r="C51" s="30"/>
      <c r="D51" s="13"/>
      <c r="E51" s="14"/>
      <c r="F51" s="15"/>
      <c r="G51" s="63"/>
    </row>
    <row r="52" spans="1:7" x14ac:dyDescent="0.35">
      <c r="A52" s="21" t="s">
        <v>129</v>
      </c>
      <c r="B52" s="32"/>
      <c r="C52" s="32"/>
      <c r="D52" s="22"/>
      <c r="E52" s="18">
        <v>877.85</v>
      </c>
      <c r="F52" s="19">
        <v>2.4500000000000001E-2</v>
      </c>
      <c r="G52" s="64"/>
    </row>
    <row r="53" spans="1:7" x14ac:dyDescent="0.35">
      <c r="A53" s="12" t="s">
        <v>132</v>
      </c>
      <c r="B53" s="30"/>
      <c r="C53" s="30"/>
      <c r="D53" s="13"/>
      <c r="E53" s="14">
        <v>1026.7213213</v>
      </c>
      <c r="F53" s="15">
        <v>2.8691999999999999E-2</v>
      </c>
      <c r="G53" s="63"/>
    </row>
    <row r="54" spans="1:7" x14ac:dyDescent="0.35">
      <c r="A54" s="12" t="s">
        <v>133</v>
      </c>
      <c r="B54" s="30"/>
      <c r="C54" s="30"/>
      <c r="D54" s="13"/>
      <c r="E54" s="14">
        <v>103.4686787</v>
      </c>
      <c r="F54" s="15">
        <v>3.0079999999999998E-3</v>
      </c>
      <c r="G54" s="63">
        <v>6.1074000000000003E-2</v>
      </c>
    </row>
    <row r="55" spans="1:7" x14ac:dyDescent="0.35">
      <c r="A55" s="25" t="s">
        <v>134</v>
      </c>
      <c r="B55" s="33"/>
      <c r="C55" s="33"/>
      <c r="D55" s="26"/>
      <c r="E55" s="27">
        <v>35783.83</v>
      </c>
      <c r="F55" s="28">
        <v>1</v>
      </c>
      <c r="G55" s="28"/>
    </row>
    <row r="57" spans="1:7" x14ac:dyDescent="0.35">
      <c r="A57" s="1" t="s">
        <v>136</v>
      </c>
    </row>
    <row r="60" spans="1:7" x14ac:dyDescent="0.35">
      <c r="A60" s="1" t="s">
        <v>1981</v>
      </c>
    </row>
    <row r="61" spans="1:7" x14ac:dyDescent="0.35">
      <c r="A61" s="47" t="s">
        <v>1982</v>
      </c>
      <c r="B61" s="34" t="s">
        <v>96</v>
      </c>
    </row>
    <row r="62" spans="1:7" x14ac:dyDescent="0.35">
      <c r="A62" t="s">
        <v>1983</v>
      </c>
    </row>
    <row r="63" spans="1:7" x14ac:dyDescent="0.35">
      <c r="A63" t="s">
        <v>1984</v>
      </c>
      <c r="B63" t="s">
        <v>1985</v>
      </c>
      <c r="C63" t="s">
        <v>1985</v>
      </c>
    </row>
    <row r="64" spans="1:7" x14ac:dyDescent="0.35">
      <c r="B64" s="48">
        <v>44834</v>
      </c>
      <c r="C64" s="48">
        <v>44865</v>
      </c>
    </row>
    <row r="65" spans="1:7" x14ac:dyDescent="0.35">
      <c r="A65" t="s">
        <v>1987</v>
      </c>
      <c r="B65" t="s">
        <v>1988</v>
      </c>
      <c r="C65" t="s">
        <v>1988</v>
      </c>
      <c r="E65" s="2"/>
      <c r="G65"/>
    </row>
    <row r="66" spans="1:7" x14ac:dyDescent="0.35">
      <c r="A66" t="s">
        <v>2010</v>
      </c>
      <c r="B66">
        <v>14.6004</v>
      </c>
      <c r="C66">
        <v>14.5748</v>
      </c>
      <c r="E66" s="2"/>
      <c r="G66"/>
    </row>
    <row r="67" spans="1:7" x14ac:dyDescent="0.35">
      <c r="A67" t="s">
        <v>1989</v>
      </c>
      <c r="B67">
        <v>20.590699999999998</v>
      </c>
      <c r="C67">
        <v>20.6615</v>
      </c>
      <c r="E67" s="2"/>
      <c r="G67"/>
    </row>
    <row r="68" spans="1:7" x14ac:dyDescent="0.35">
      <c r="A68" t="s">
        <v>1990</v>
      </c>
      <c r="B68">
        <v>18.198</v>
      </c>
      <c r="C68">
        <v>17.9605</v>
      </c>
      <c r="E68" s="2"/>
      <c r="G68"/>
    </row>
    <row r="69" spans="1:7" x14ac:dyDescent="0.35">
      <c r="A69" t="s">
        <v>2011</v>
      </c>
      <c r="B69">
        <v>10.912599999999999</v>
      </c>
      <c r="C69">
        <v>10.908200000000001</v>
      </c>
      <c r="E69" s="2"/>
      <c r="G69"/>
    </row>
    <row r="70" spans="1:7" x14ac:dyDescent="0.35">
      <c r="A70" t="s">
        <v>2012</v>
      </c>
      <c r="B70">
        <v>10.4397</v>
      </c>
      <c r="C70">
        <v>10.4756</v>
      </c>
      <c r="E70" s="2"/>
      <c r="G70"/>
    </row>
    <row r="71" spans="1:7" x14ac:dyDescent="0.35">
      <c r="A71" t="s">
        <v>1998</v>
      </c>
      <c r="B71" t="s">
        <v>1988</v>
      </c>
      <c r="C71" t="s">
        <v>1988</v>
      </c>
      <c r="E71" s="2"/>
      <c r="G71"/>
    </row>
    <row r="72" spans="1:7" x14ac:dyDescent="0.35">
      <c r="A72" t="s">
        <v>2013</v>
      </c>
      <c r="B72">
        <v>14.225899999999999</v>
      </c>
      <c r="C72">
        <v>14.2006</v>
      </c>
      <c r="E72" s="2"/>
      <c r="G72"/>
    </row>
    <row r="73" spans="1:7" x14ac:dyDescent="0.35">
      <c r="A73" t="s">
        <v>2014</v>
      </c>
      <c r="B73">
        <v>20.044899999999998</v>
      </c>
      <c r="C73">
        <v>20.107800000000001</v>
      </c>
      <c r="E73" s="2"/>
      <c r="G73"/>
    </row>
    <row r="74" spans="1:7" x14ac:dyDescent="0.35">
      <c r="A74" t="s">
        <v>2015</v>
      </c>
      <c r="B74">
        <v>17.6602</v>
      </c>
      <c r="C74">
        <v>17.415600000000001</v>
      </c>
      <c r="E74" s="2"/>
      <c r="G74"/>
    </row>
    <row r="75" spans="1:7" x14ac:dyDescent="0.35">
      <c r="A75" t="s">
        <v>2016</v>
      </c>
      <c r="B75">
        <v>11.096299999999999</v>
      </c>
      <c r="C75">
        <v>11.1311</v>
      </c>
      <c r="E75" s="2"/>
      <c r="G75"/>
    </row>
    <row r="76" spans="1:7" x14ac:dyDescent="0.35">
      <c r="A76" t="s">
        <v>2017</v>
      </c>
      <c r="B76">
        <v>10.039199999999999</v>
      </c>
      <c r="C76">
        <v>10.0707</v>
      </c>
      <c r="E76" s="2"/>
      <c r="G76"/>
    </row>
    <row r="77" spans="1:7" x14ac:dyDescent="0.35">
      <c r="A77" t="s">
        <v>1999</v>
      </c>
      <c r="E77" s="2"/>
      <c r="G77"/>
    </row>
    <row r="79" spans="1:7" x14ac:dyDescent="0.35">
      <c r="A79" s="137" t="s">
        <v>2020</v>
      </c>
      <c r="B79" s="137"/>
      <c r="C79" s="137"/>
      <c r="D79" s="137"/>
    </row>
    <row r="80" spans="1:7" s="137" customFormat="1" x14ac:dyDescent="0.35">
      <c r="G80" s="2"/>
    </row>
    <row r="81" spans="1:7" s="137" customFormat="1" x14ac:dyDescent="0.35">
      <c r="A81" s="149" t="s">
        <v>2021</v>
      </c>
      <c r="B81" s="149" t="s">
        <v>2022</v>
      </c>
      <c r="C81" s="149" t="s">
        <v>2023</v>
      </c>
      <c r="D81" s="149" t="s">
        <v>2024</v>
      </c>
      <c r="G81" s="2"/>
    </row>
    <row r="82" spans="1:7" s="137" customFormat="1" x14ac:dyDescent="0.35">
      <c r="A82" s="149" t="s">
        <v>2140</v>
      </c>
      <c r="B82" s="149"/>
      <c r="C82" s="149">
        <v>0.3</v>
      </c>
      <c r="D82" s="149">
        <v>0.3</v>
      </c>
      <c r="G82" s="2"/>
    </row>
    <row r="83" spans="1:7" s="137" customFormat="1" x14ac:dyDescent="0.35">
      <c r="A83" s="149" t="s">
        <v>2141</v>
      </c>
      <c r="B83" s="149"/>
      <c r="C83" s="149">
        <v>7.58461E-2</v>
      </c>
      <c r="D83" s="149">
        <v>7.58461E-2</v>
      </c>
      <c r="G83" s="2"/>
    </row>
    <row r="84" spans="1:7" s="137" customFormat="1" x14ac:dyDescent="0.35">
      <c r="A84" s="149" t="s">
        <v>2142</v>
      </c>
      <c r="B84" s="149"/>
      <c r="C84" s="149">
        <v>4.1853899999999999E-2</v>
      </c>
      <c r="D84" s="149">
        <v>4.1853899999999999E-2</v>
      </c>
      <c r="G84" s="2"/>
    </row>
    <row r="85" spans="1:7" s="137" customFormat="1" x14ac:dyDescent="0.35">
      <c r="A85" s="149" t="s">
        <v>2042</v>
      </c>
      <c r="B85" s="149"/>
      <c r="C85" s="149">
        <v>6.9951100000000002E-2</v>
      </c>
      <c r="D85" s="149">
        <v>6.9951100000000002E-2</v>
      </c>
      <c r="G85" s="2"/>
    </row>
    <row r="86" spans="1:7" s="137" customFormat="1" x14ac:dyDescent="0.35">
      <c r="A86" s="149" t="s">
        <v>2044</v>
      </c>
      <c r="B86" s="149"/>
      <c r="C86" s="149">
        <v>0.3</v>
      </c>
      <c r="D86" s="149">
        <v>0.3</v>
      </c>
      <c r="G86" s="2"/>
    </row>
    <row r="87" spans="1:7" s="137" customFormat="1" x14ac:dyDescent="0.35">
      <c r="B87" s="34"/>
      <c r="G87" s="2"/>
    </row>
    <row r="88" spans="1:7" x14ac:dyDescent="0.35">
      <c r="A88" t="s">
        <v>2001</v>
      </c>
      <c r="B88" s="34" t="s">
        <v>96</v>
      </c>
    </row>
    <row r="89" spans="1:7" ht="29" x14ac:dyDescent="0.35">
      <c r="A89" s="47" t="s">
        <v>2002</v>
      </c>
      <c r="B89" s="34" t="s">
        <v>96</v>
      </c>
    </row>
    <row r="90" spans="1:7" ht="29" x14ac:dyDescent="0.35">
      <c r="A90" s="47" t="s">
        <v>2003</v>
      </c>
      <c r="B90" s="34" t="s">
        <v>96</v>
      </c>
    </row>
    <row r="91" spans="1:7" x14ac:dyDescent="0.35">
      <c r="A91" t="s">
        <v>2004</v>
      </c>
      <c r="B91" s="49">
        <v>6.51775860346104</v>
      </c>
    </row>
    <row r="92" spans="1:7" ht="43.5" x14ac:dyDescent="0.35">
      <c r="A92" s="47" t="s">
        <v>2005</v>
      </c>
      <c r="B92" s="34" t="s">
        <v>96</v>
      </c>
    </row>
    <row r="93" spans="1:7" ht="29" x14ac:dyDescent="0.35">
      <c r="A93" s="47" t="s">
        <v>2006</v>
      </c>
      <c r="B93" s="34" t="s">
        <v>96</v>
      </c>
    </row>
    <row r="94" spans="1:7" ht="29" x14ac:dyDescent="0.35">
      <c r="A94" s="47" t="s">
        <v>2009</v>
      </c>
      <c r="B94" s="34" t="s">
        <v>96</v>
      </c>
    </row>
    <row r="95" spans="1:7" ht="29" x14ac:dyDescent="0.35">
      <c r="A95" s="47" t="s">
        <v>2135</v>
      </c>
      <c r="B95" s="34" t="s">
        <v>96</v>
      </c>
    </row>
    <row r="96" spans="1:7" ht="29" x14ac:dyDescent="0.35">
      <c r="A96" s="47" t="s">
        <v>2136</v>
      </c>
      <c r="B96" s="34" t="s">
        <v>96</v>
      </c>
    </row>
    <row r="99" spans="1:6" ht="29" x14ac:dyDescent="0.35">
      <c r="A99" s="190" t="s">
        <v>2154</v>
      </c>
      <c r="B99" s="191" t="s">
        <v>2155</v>
      </c>
      <c r="C99" s="191" t="s">
        <v>2156</v>
      </c>
      <c r="D99" s="196" t="s">
        <v>2157</v>
      </c>
      <c r="E99" s="196" t="s">
        <v>2156</v>
      </c>
      <c r="F99" s="196" t="s">
        <v>2157</v>
      </c>
    </row>
    <row r="100" spans="1:6" ht="77.5" customHeight="1" x14ac:dyDescent="0.35">
      <c r="A100" s="195" t="s">
        <v>2171</v>
      </c>
      <c r="B100" s="192"/>
      <c r="C100" s="194" t="s">
        <v>2172</v>
      </c>
      <c r="D100" s="192"/>
      <c r="E100" s="193" t="s">
        <v>2173</v>
      </c>
      <c r="F100" s="192"/>
    </row>
  </sheetData>
  <mergeCells count="2">
    <mergeCell ref="A1:G1"/>
    <mergeCell ref="A2:G2"/>
  </mergeCells>
  <pageMargins left="0.7" right="0.7" top="0.75" bottom="0.75" header="0.3" footer="0.3"/>
  <pageSetup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5AD6-C482-46D9-A054-24F7A0AE1462}">
  <dimension ref="A1:H66"/>
  <sheetViews>
    <sheetView showGridLines="0" workbookViewId="0">
      <pane ySplit="4" topLeftCell="A66" activePane="bottomLeft" state="frozen"/>
      <selection activeCell="A2" sqref="A2:XFD2"/>
      <selection pane="bottomLeft" activeCell="A71" sqref="A71"/>
    </sheetView>
  </sheetViews>
  <sheetFormatPr defaultRowHeight="14.5" x14ac:dyDescent="0.35"/>
  <cols>
    <col min="1" max="1" width="51.6328125" customWidth="1"/>
    <col min="2" max="2" width="23.81640625" customWidth="1"/>
    <col min="3" max="3" width="26.6328125" customWidth="1"/>
    <col min="4" max="4" width="23.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21</v>
      </c>
      <c r="B1" s="151"/>
      <c r="C1" s="151"/>
      <c r="D1" s="151"/>
      <c r="E1" s="151"/>
      <c r="F1" s="151"/>
      <c r="G1" s="151"/>
      <c r="H1" s="50" t="str">
        <f>HYPERLINK("[EDEL_Portfolio Monthly Notes 31-Oct-2022.xlsx]Index!A1","Index")</f>
        <v>Index</v>
      </c>
    </row>
    <row r="2" spans="1:8" ht="31" customHeight="1" x14ac:dyDescent="0.35">
      <c r="A2" s="151" t="s">
        <v>22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6" t="s">
        <v>137</v>
      </c>
      <c r="B8" s="30"/>
      <c r="C8" s="30"/>
      <c r="D8" s="13"/>
      <c r="E8" s="14"/>
      <c r="F8" s="15"/>
      <c r="G8" s="15"/>
    </row>
    <row r="9" spans="1:8" x14ac:dyDescent="0.35">
      <c r="A9" s="16" t="s">
        <v>523</v>
      </c>
      <c r="B9" s="30"/>
      <c r="C9" s="30"/>
      <c r="D9" s="13"/>
      <c r="E9" s="14"/>
      <c r="F9" s="15"/>
      <c r="G9" s="15"/>
    </row>
    <row r="10" spans="1:8" x14ac:dyDescent="0.35">
      <c r="A10" s="16" t="s">
        <v>102</v>
      </c>
      <c r="B10" s="30"/>
      <c r="C10" s="30"/>
      <c r="D10" s="13"/>
      <c r="E10" s="35" t="s">
        <v>96</v>
      </c>
      <c r="F10" s="36" t="s">
        <v>96</v>
      </c>
      <c r="G10" s="15"/>
    </row>
    <row r="11" spans="1:8" x14ac:dyDescent="0.35">
      <c r="A11" s="12"/>
      <c r="B11" s="30"/>
      <c r="C11" s="30"/>
      <c r="D11" s="13"/>
      <c r="E11" s="14"/>
      <c r="F11" s="15"/>
      <c r="G11" s="15"/>
    </row>
    <row r="12" spans="1:8" x14ac:dyDescent="0.35">
      <c r="A12" s="16" t="s">
        <v>403</v>
      </c>
      <c r="B12" s="30"/>
      <c r="C12" s="30"/>
      <c r="D12" s="13"/>
      <c r="E12" s="14"/>
      <c r="F12" s="15"/>
      <c r="G12" s="15"/>
    </row>
    <row r="13" spans="1:8" x14ac:dyDescent="0.35">
      <c r="A13" s="12" t="s">
        <v>524</v>
      </c>
      <c r="B13" s="30" t="s">
        <v>525</v>
      </c>
      <c r="C13" s="30" t="s">
        <v>101</v>
      </c>
      <c r="D13" s="13">
        <v>2000000</v>
      </c>
      <c r="E13" s="14">
        <v>1999.88</v>
      </c>
      <c r="F13" s="15">
        <v>0.45729999999999998</v>
      </c>
      <c r="G13" s="15">
        <v>7.3780999999999999E-2</v>
      </c>
    </row>
    <row r="14" spans="1:8" x14ac:dyDescent="0.35">
      <c r="A14" s="16" t="s">
        <v>102</v>
      </c>
      <c r="B14" s="31"/>
      <c r="C14" s="31"/>
      <c r="D14" s="17"/>
      <c r="E14" s="18">
        <v>1999.88</v>
      </c>
      <c r="F14" s="19">
        <v>0.45729999999999998</v>
      </c>
      <c r="G14" s="20"/>
    </row>
    <row r="15" spans="1:8" x14ac:dyDescent="0.35">
      <c r="A15" s="12"/>
      <c r="B15" s="30"/>
      <c r="C15" s="30"/>
      <c r="D15" s="13"/>
      <c r="E15" s="14"/>
      <c r="F15" s="15"/>
      <c r="G15" s="15"/>
    </row>
    <row r="16" spans="1:8" x14ac:dyDescent="0.35">
      <c r="A16" s="16" t="s">
        <v>526</v>
      </c>
      <c r="B16" s="30"/>
      <c r="C16" s="30"/>
      <c r="D16" s="13"/>
      <c r="E16" s="14"/>
      <c r="F16" s="15"/>
      <c r="G16" s="15"/>
    </row>
    <row r="17" spans="1:7" x14ac:dyDescent="0.35">
      <c r="A17" s="12" t="s">
        <v>527</v>
      </c>
      <c r="B17" s="30" t="s">
        <v>528</v>
      </c>
      <c r="C17" s="30" t="s">
        <v>101</v>
      </c>
      <c r="D17" s="13">
        <v>2000000</v>
      </c>
      <c r="E17" s="14">
        <v>1977.28</v>
      </c>
      <c r="F17" s="15">
        <v>0.45219999999999999</v>
      </c>
      <c r="G17" s="15">
        <v>7.4760999999999994E-2</v>
      </c>
    </row>
    <row r="18" spans="1:7" x14ac:dyDescent="0.35">
      <c r="A18" s="12" t="s">
        <v>529</v>
      </c>
      <c r="B18" s="30" t="s">
        <v>530</v>
      </c>
      <c r="C18" s="30" t="s">
        <v>101</v>
      </c>
      <c r="D18" s="13">
        <v>200000</v>
      </c>
      <c r="E18" s="14">
        <v>200.94</v>
      </c>
      <c r="F18" s="15">
        <v>4.5999999999999999E-2</v>
      </c>
      <c r="G18" s="15">
        <v>7.5415999999999997E-2</v>
      </c>
    </row>
    <row r="19" spans="1:7" x14ac:dyDescent="0.35">
      <c r="A19" s="16" t="s">
        <v>102</v>
      </c>
      <c r="B19" s="31"/>
      <c r="C19" s="31"/>
      <c r="D19" s="17"/>
      <c r="E19" s="18">
        <v>2178.2199999999998</v>
      </c>
      <c r="F19" s="19">
        <v>0.49819999999999998</v>
      </c>
      <c r="G19" s="20"/>
    </row>
    <row r="20" spans="1:7" x14ac:dyDescent="0.35">
      <c r="A20" s="12"/>
      <c r="B20" s="30"/>
      <c r="C20" s="30"/>
      <c r="D20" s="13"/>
      <c r="E20" s="14"/>
      <c r="F20" s="15"/>
      <c r="G20" s="15"/>
    </row>
    <row r="21" spans="1:7" x14ac:dyDescent="0.35">
      <c r="A21" s="12"/>
      <c r="B21" s="30"/>
      <c r="C21" s="30"/>
      <c r="D21" s="13"/>
      <c r="E21" s="14"/>
      <c r="F21" s="15"/>
      <c r="G21" s="15"/>
    </row>
    <row r="22" spans="1:7" x14ac:dyDescent="0.35">
      <c r="A22" s="16" t="s">
        <v>192</v>
      </c>
      <c r="B22" s="30"/>
      <c r="C22" s="30"/>
      <c r="D22" s="13"/>
      <c r="E22" s="14"/>
      <c r="F22" s="15"/>
      <c r="G22" s="15"/>
    </row>
    <row r="23" spans="1:7" x14ac:dyDescent="0.35">
      <c r="A23" s="16" t="s">
        <v>102</v>
      </c>
      <c r="B23" s="30"/>
      <c r="C23" s="30"/>
      <c r="D23" s="13"/>
      <c r="E23" s="35" t="s">
        <v>96</v>
      </c>
      <c r="F23" s="36" t="s">
        <v>96</v>
      </c>
      <c r="G23" s="15"/>
    </row>
    <row r="24" spans="1:7" x14ac:dyDescent="0.35">
      <c r="A24" s="12"/>
      <c r="B24" s="30"/>
      <c r="C24" s="30"/>
      <c r="D24" s="13"/>
      <c r="E24" s="14"/>
      <c r="F24" s="15"/>
      <c r="G24" s="15"/>
    </row>
    <row r="25" spans="1:7" x14ac:dyDescent="0.35">
      <c r="A25" s="16" t="s">
        <v>193</v>
      </c>
      <c r="B25" s="30"/>
      <c r="C25" s="30"/>
      <c r="D25" s="13"/>
      <c r="E25" s="14"/>
      <c r="F25" s="15"/>
      <c r="G25" s="15"/>
    </row>
    <row r="26" spans="1:7" x14ac:dyDescent="0.35">
      <c r="A26" s="16" t="s">
        <v>102</v>
      </c>
      <c r="B26" s="30"/>
      <c r="C26" s="30"/>
      <c r="D26" s="13"/>
      <c r="E26" s="35" t="s">
        <v>96</v>
      </c>
      <c r="F26" s="36" t="s">
        <v>96</v>
      </c>
      <c r="G26" s="15"/>
    </row>
    <row r="27" spans="1:7" x14ac:dyDescent="0.35">
      <c r="A27" s="12"/>
      <c r="B27" s="30"/>
      <c r="C27" s="30"/>
      <c r="D27" s="13"/>
      <c r="E27" s="14"/>
      <c r="F27" s="15"/>
      <c r="G27" s="15"/>
    </row>
    <row r="28" spans="1:7" x14ac:dyDescent="0.35">
      <c r="A28" s="21" t="s">
        <v>129</v>
      </c>
      <c r="B28" s="32"/>
      <c r="C28" s="32"/>
      <c r="D28" s="22"/>
      <c r="E28" s="18">
        <v>4178.1000000000004</v>
      </c>
      <c r="F28" s="19">
        <v>0.95550000000000002</v>
      </c>
      <c r="G28" s="20"/>
    </row>
    <row r="29" spans="1:7" x14ac:dyDescent="0.35">
      <c r="A29" s="12"/>
      <c r="B29" s="30"/>
      <c r="C29" s="30"/>
      <c r="D29" s="13"/>
      <c r="E29" s="14"/>
      <c r="F29" s="15"/>
      <c r="G29" s="15"/>
    </row>
    <row r="30" spans="1:7" x14ac:dyDescent="0.35">
      <c r="A30" s="12"/>
      <c r="B30" s="30"/>
      <c r="C30" s="30"/>
      <c r="D30" s="13"/>
      <c r="E30" s="14"/>
      <c r="F30" s="15"/>
      <c r="G30" s="15"/>
    </row>
    <row r="31" spans="1:7" x14ac:dyDescent="0.35">
      <c r="A31" s="16" t="s">
        <v>130</v>
      </c>
      <c r="B31" s="30"/>
      <c r="C31" s="30"/>
      <c r="D31" s="13"/>
      <c r="E31" s="14"/>
      <c r="F31" s="15"/>
      <c r="G31" s="15"/>
    </row>
    <row r="32" spans="1:7" x14ac:dyDescent="0.35">
      <c r="A32" s="12" t="s">
        <v>131</v>
      </c>
      <c r="B32" s="30"/>
      <c r="C32" s="30"/>
      <c r="D32" s="13"/>
      <c r="E32" s="14">
        <v>229.96</v>
      </c>
      <c r="F32" s="15">
        <v>5.2600000000000001E-2</v>
      </c>
      <c r="G32" s="65">
        <v>6.1074000000000003E-2</v>
      </c>
    </row>
    <row r="33" spans="1:7" x14ac:dyDescent="0.35">
      <c r="A33" s="16" t="s">
        <v>102</v>
      </c>
      <c r="B33" s="31"/>
      <c r="C33" s="31"/>
      <c r="D33" s="17"/>
      <c r="E33" s="18">
        <v>229.96</v>
      </c>
      <c r="F33" s="19">
        <v>5.2600000000000001E-2</v>
      </c>
      <c r="G33" s="66"/>
    </row>
    <row r="34" spans="1:7" x14ac:dyDescent="0.35">
      <c r="A34" s="12"/>
      <c r="B34" s="30"/>
      <c r="C34" s="30"/>
      <c r="D34" s="13"/>
      <c r="E34" s="14"/>
      <c r="F34" s="15"/>
      <c r="G34" s="65"/>
    </row>
    <row r="35" spans="1:7" x14ac:dyDescent="0.35">
      <c r="A35" s="21" t="s">
        <v>129</v>
      </c>
      <c r="B35" s="32"/>
      <c r="C35" s="32"/>
      <c r="D35" s="22"/>
      <c r="E35" s="18">
        <v>229.96</v>
      </c>
      <c r="F35" s="19">
        <v>5.2600000000000001E-2</v>
      </c>
      <c r="G35" s="66"/>
    </row>
    <row r="36" spans="1:7" x14ac:dyDescent="0.35">
      <c r="A36" s="12" t="s">
        <v>132</v>
      </c>
      <c r="B36" s="30"/>
      <c r="C36" s="30"/>
      <c r="D36" s="13"/>
      <c r="E36" s="14">
        <v>98.313645199999996</v>
      </c>
      <c r="F36" s="15">
        <v>2.2481999999999999E-2</v>
      </c>
      <c r="G36" s="65"/>
    </row>
    <row r="37" spans="1:7" x14ac:dyDescent="0.35">
      <c r="A37" s="12" t="s">
        <v>133</v>
      </c>
      <c r="B37" s="30"/>
      <c r="C37" s="30"/>
      <c r="D37" s="13"/>
      <c r="E37" s="23">
        <v>-133.54364519999999</v>
      </c>
      <c r="F37" s="24">
        <v>-3.0582000000000002E-2</v>
      </c>
      <c r="G37" s="65">
        <v>6.1074000000000003E-2</v>
      </c>
    </row>
    <row r="38" spans="1:7" x14ac:dyDescent="0.35">
      <c r="A38" s="25" t="s">
        <v>134</v>
      </c>
      <c r="B38" s="33"/>
      <c r="C38" s="33"/>
      <c r="D38" s="26"/>
      <c r="E38" s="27">
        <v>4372.83</v>
      </c>
      <c r="F38" s="28">
        <v>1</v>
      </c>
      <c r="G38" s="28"/>
    </row>
    <row r="40" spans="1:7" x14ac:dyDescent="0.35">
      <c r="A40" s="1" t="s">
        <v>136</v>
      </c>
    </row>
    <row r="43" spans="1:7" x14ac:dyDescent="0.35">
      <c r="A43" s="1" t="s">
        <v>1981</v>
      </c>
    </row>
    <row r="44" spans="1:7" x14ac:dyDescent="0.35">
      <c r="A44" s="47" t="s">
        <v>1982</v>
      </c>
      <c r="B44" s="34" t="s">
        <v>96</v>
      </c>
    </row>
    <row r="45" spans="1:7" x14ac:dyDescent="0.35">
      <c r="A45" t="s">
        <v>1983</v>
      </c>
    </row>
    <row r="46" spans="1:7" x14ac:dyDescent="0.35">
      <c r="A46" t="s">
        <v>1984</v>
      </c>
      <c r="B46" t="s">
        <v>1985</v>
      </c>
      <c r="C46" t="s">
        <v>1985</v>
      </c>
    </row>
    <row r="47" spans="1:7" x14ac:dyDescent="0.35">
      <c r="B47" s="48">
        <v>44834</v>
      </c>
      <c r="C47" s="48">
        <v>44865</v>
      </c>
    </row>
    <row r="48" spans="1:7" x14ac:dyDescent="0.35">
      <c r="A48" t="s">
        <v>2018</v>
      </c>
      <c r="B48" t="s">
        <v>1988</v>
      </c>
      <c r="C48">
        <v>10.0244</v>
      </c>
      <c r="E48" s="2"/>
      <c r="G48"/>
    </row>
    <row r="49" spans="1:7" x14ac:dyDescent="0.35">
      <c r="A49" t="s">
        <v>1990</v>
      </c>
      <c r="B49" t="s">
        <v>1988</v>
      </c>
      <c r="C49">
        <v>10.0244</v>
      </c>
      <c r="E49" s="2"/>
      <c r="G49"/>
    </row>
    <row r="50" spans="1:7" x14ac:dyDescent="0.35">
      <c r="A50" t="s">
        <v>2019</v>
      </c>
      <c r="B50" t="s">
        <v>1988</v>
      </c>
      <c r="C50">
        <v>10.023400000000001</v>
      </c>
      <c r="E50" s="2"/>
      <c r="G50"/>
    </row>
    <row r="51" spans="1:7" x14ac:dyDescent="0.35">
      <c r="A51" t="s">
        <v>2015</v>
      </c>
      <c r="B51" t="s">
        <v>1988</v>
      </c>
      <c r="C51">
        <v>10.023400000000001</v>
      </c>
      <c r="E51" s="2"/>
      <c r="G51"/>
    </row>
    <row r="52" spans="1:7" x14ac:dyDescent="0.35">
      <c r="A52" t="s">
        <v>1999</v>
      </c>
      <c r="E52" s="2"/>
      <c r="G52"/>
    </row>
    <row r="54" spans="1:7" x14ac:dyDescent="0.35">
      <c r="A54" t="s">
        <v>2000</v>
      </c>
      <c r="B54" s="34" t="s">
        <v>96</v>
      </c>
    </row>
    <row r="55" spans="1:7" x14ac:dyDescent="0.35">
      <c r="A55" t="s">
        <v>2001</v>
      </c>
      <c r="B55" s="34" t="s">
        <v>96</v>
      </c>
    </row>
    <row r="56" spans="1:7" ht="29" x14ac:dyDescent="0.35">
      <c r="A56" s="47" t="s">
        <v>2002</v>
      </c>
      <c r="B56" s="34" t="s">
        <v>96</v>
      </c>
    </row>
    <row r="57" spans="1:7" ht="29" x14ac:dyDescent="0.35">
      <c r="A57" s="47" t="s">
        <v>2003</v>
      </c>
      <c r="B57" s="34" t="s">
        <v>96</v>
      </c>
    </row>
    <row r="58" spans="1:7" x14ac:dyDescent="0.35">
      <c r="A58" t="s">
        <v>2004</v>
      </c>
      <c r="B58" s="49">
        <v>4.3220439896347997</v>
      </c>
    </row>
    <row r="59" spans="1:7" ht="43.5" x14ac:dyDescent="0.35">
      <c r="A59" s="47" t="s">
        <v>2005</v>
      </c>
      <c r="B59" s="34" t="s">
        <v>96</v>
      </c>
    </row>
    <row r="60" spans="1:7" ht="29" x14ac:dyDescent="0.35">
      <c r="A60" s="47" t="s">
        <v>2006</v>
      </c>
      <c r="B60" s="34" t="s">
        <v>96</v>
      </c>
    </row>
    <row r="61" spans="1:7" ht="29" x14ac:dyDescent="0.35">
      <c r="A61" s="47" t="s">
        <v>2009</v>
      </c>
      <c r="B61" s="34" t="s">
        <v>96</v>
      </c>
    </row>
    <row r="62" spans="1:7" ht="29" x14ac:dyDescent="0.35">
      <c r="A62" s="47" t="s">
        <v>2135</v>
      </c>
      <c r="B62" s="34" t="s">
        <v>96</v>
      </c>
    </row>
    <row r="63" spans="1:7" ht="29" x14ac:dyDescent="0.35">
      <c r="A63" s="47" t="s">
        <v>2136</v>
      </c>
      <c r="B63" s="34" t="s">
        <v>96</v>
      </c>
    </row>
    <row r="65" spans="1:4" ht="29" x14ac:dyDescent="0.35">
      <c r="A65" s="197" t="s">
        <v>2154</v>
      </c>
      <c r="B65" s="198" t="s">
        <v>2155</v>
      </c>
      <c r="C65" s="198" t="s">
        <v>2156</v>
      </c>
      <c r="D65" s="200" t="s">
        <v>2157</v>
      </c>
    </row>
    <row r="66" spans="1:4" ht="77" customHeight="1" x14ac:dyDescent="0.35">
      <c r="A66" s="401" t="str">
        <f>HYPERLINK("[EDEL_Portfolio Monthly Notes 31-Oct-2022.xlsx]EDCG27!A1","Edelweiss CRISIL IBX 50 50 Gilt Plus SDL June 2027 Index Fund")</f>
        <v>Edelweiss CRISIL IBX 50 50 Gilt Plus SDL June 2027 Index Fund</v>
      </c>
      <c r="B66" s="199"/>
      <c r="C66" s="404" t="s">
        <v>2242</v>
      </c>
      <c r="D66" s="199"/>
    </row>
  </sheetData>
  <mergeCells count="2">
    <mergeCell ref="A1:G1"/>
    <mergeCell ref="A2:G2"/>
  </mergeCells>
  <pageMargins left="0.7" right="0.7" top="0.75" bottom="0.75" header="0.3" footer="0.3"/>
  <pageSetup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118F-8021-4FAF-B145-CDDD5555E0D7}">
  <dimension ref="A1:H62"/>
  <sheetViews>
    <sheetView showGridLines="0" workbookViewId="0">
      <pane ySplit="4" topLeftCell="A61" activePane="bottomLeft" state="frozen"/>
      <selection activeCell="A2" sqref="A2:XFD2"/>
      <selection pane="bottomLeft" activeCell="B62" sqref="B62:D62"/>
    </sheetView>
  </sheetViews>
  <sheetFormatPr defaultRowHeight="14.5" x14ac:dyDescent="0.35"/>
  <cols>
    <col min="1" max="1" width="52" customWidth="1"/>
    <col min="2" max="2" width="23.81640625" customWidth="1"/>
    <col min="3" max="3" width="26.6328125" customWidth="1"/>
    <col min="4" max="4" width="23.8164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23</v>
      </c>
      <c r="B1" s="151"/>
      <c r="C1" s="151"/>
      <c r="D1" s="151"/>
      <c r="E1" s="151"/>
      <c r="F1" s="151"/>
      <c r="G1" s="151"/>
      <c r="H1" s="50" t="str">
        <f>HYPERLINK("[EDEL_Portfolio Monthly Notes 31-Oct-2022.xlsx]Index!A1","Index")</f>
        <v>Index</v>
      </c>
    </row>
    <row r="2" spans="1:8" ht="31" customHeight="1" x14ac:dyDescent="0.35">
      <c r="A2" s="151" t="s">
        <v>24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6" t="s">
        <v>137</v>
      </c>
      <c r="B8" s="30"/>
      <c r="C8" s="30"/>
      <c r="D8" s="13"/>
      <c r="E8" s="14"/>
      <c r="F8" s="15"/>
      <c r="G8" s="15"/>
    </row>
    <row r="9" spans="1:8" x14ac:dyDescent="0.35">
      <c r="A9" s="16" t="s">
        <v>523</v>
      </c>
      <c r="B9" s="30"/>
      <c r="C9" s="30"/>
      <c r="D9" s="13"/>
      <c r="E9" s="14"/>
      <c r="F9" s="15"/>
      <c r="G9" s="15"/>
    </row>
    <row r="10" spans="1:8" x14ac:dyDescent="0.35">
      <c r="A10" s="16" t="s">
        <v>102</v>
      </c>
      <c r="B10" s="30"/>
      <c r="C10" s="30"/>
      <c r="D10" s="13"/>
      <c r="E10" s="35" t="s">
        <v>96</v>
      </c>
      <c r="F10" s="36" t="s">
        <v>96</v>
      </c>
      <c r="G10" s="15"/>
    </row>
    <row r="11" spans="1:8" x14ac:dyDescent="0.35">
      <c r="A11" s="12"/>
      <c r="B11" s="30"/>
      <c r="C11" s="30"/>
      <c r="D11" s="13"/>
      <c r="E11" s="14"/>
      <c r="F11" s="15"/>
      <c r="G11" s="15"/>
    </row>
    <row r="12" spans="1:8" x14ac:dyDescent="0.35">
      <c r="A12" s="16" t="s">
        <v>526</v>
      </c>
      <c r="B12" s="30"/>
      <c r="C12" s="30"/>
      <c r="D12" s="13"/>
      <c r="E12" s="14"/>
      <c r="F12" s="15"/>
      <c r="G12" s="15"/>
    </row>
    <row r="13" spans="1:8" x14ac:dyDescent="0.35">
      <c r="A13" s="12" t="s">
        <v>531</v>
      </c>
      <c r="B13" s="30" t="s">
        <v>532</v>
      </c>
      <c r="C13" s="30" t="s">
        <v>101</v>
      </c>
      <c r="D13" s="13">
        <v>3500000</v>
      </c>
      <c r="E13" s="14">
        <v>3513.65</v>
      </c>
      <c r="F13" s="15">
        <v>0.57609999999999995</v>
      </c>
      <c r="G13" s="15">
        <v>7.8434000000000004E-2</v>
      </c>
    </row>
    <row r="14" spans="1:8" x14ac:dyDescent="0.35">
      <c r="A14" s="12" t="s">
        <v>533</v>
      </c>
      <c r="B14" s="30" t="s">
        <v>534</v>
      </c>
      <c r="C14" s="30" t="s">
        <v>101</v>
      </c>
      <c r="D14" s="13">
        <v>2500000</v>
      </c>
      <c r="E14" s="14">
        <v>2501.2800000000002</v>
      </c>
      <c r="F14" s="15">
        <v>0.41010000000000002</v>
      </c>
      <c r="G14" s="15">
        <v>7.8228000000000006E-2</v>
      </c>
    </row>
    <row r="15" spans="1:8" x14ac:dyDescent="0.35">
      <c r="A15" s="16" t="s">
        <v>102</v>
      </c>
      <c r="B15" s="31"/>
      <c r="C15" s="31"/>
      <c r="D15" s="17"/>
      <c r="E15" s="18">
        <v>6014.93</v>
      </c>
      <c r="F15" s="19">
        <v>0.98619999999999997</v>
      </c>
      <c r="G15" s="20"/>
    </row>
    <row r="16" spans="1:8" x14ac:dyDescent="0.35">
      <c r="A16" s="12"/>
      <c r="B16" s="30"/>
      <c r="C16" s="30"/>
      <c r="D16" s="13"/>
      <c r="E16" s="14"/>
      <c r="F16" s="15"/>
      <c r="G16" s="15"/>
    </row>
    <row r="17" spans="1:7" x14ac:dyDescent="0.35">
      <c r="A17" s="12"/>
      <c r="B17" s="30"/>
      <c r="C17" s="30"/>
      <c r="D17" s="13"/>
      <c r="E17" s="14"/>
      <c r="F17" s="15"/>
      <c r="G17" s="15"/>
    </row>
    <row r="18" spans="1:7" x14ac:dyDescent="0.35">
      <c r="A18" s="16" t="s">
        <v>192</v>
      </c>
      <c r="B18" s="30"/>
      <c r="C18" s="30"/>
      <c r="D18" s="13"/>
      <c r="E18" s="14"/>
      <c r="F18" s="15"/>
      <c r="G18" s="15"/>
    </row>
    <row r="19" spans="1:7" x14ac:dyDescent="0.35">
      <c r="A19" s="16" t="s">
        <v>102</v>
      </c>
      <c r="B19" s="30"/>
      <c r="C19" s="30"/>
      <c r="D19" s="13"/>
      <c r="E19" s="35" t="s">
        <v>96</v>
      </c>
      <c r="F19" s="36" t="s">
        <v>96</v>
      </c>
      <c r="G19" s="15"/>
    </row>
    <row r="20" spans="1:7" x14ac:dyDescent="0.35">
      <c r="A20" s="12"/>
      <c r="B20" s="30"/>
      <c r="C20" s="30"/>
      <c r="D20" s="13"/>
      <c r="E20" s="14"/>
      <c r="F20" s="15"/>
      <c r="G20" s="15"/>
    </row>
    <row r="21" spans="1:7" x14ac:dyDescent="0.35">
      <c r="A21" s="16" t="s">
        <v>193</v>
      </c>
      <c r="B21" s="30"/>
      <c r="C21" s="30"/>
      <c r="D21" s="13"/>
      <c r="E21" s="14"/>
      <c r="F21" s="15"/>
      <c r="G21" s="15"/>
    </row>
    <row r="22" spans="1:7" x14ac:dyDescent="0.35">
      <c r="A22" s="16" t="s">
        <v>102</v>
      </c>
      <c r="B22" s="30"/>
      <c r="C22" s="30"/>
      <c r="D22" s="13"/>
      <c r="E22" s="35" t="s">
        <v>96</v>
      </c>
      <c r="F22" s="36" t="s">
        <v>96</v>
      </c>
      <c r="G22" s="15"/>
    </row>
    <row r="23" spans="1:7" x14ac:dyDescent="0.35">
      <c r="A23" s="12"/>
      <c r="B23" s="30"/>
      <c r="C23" s="30"/>
      <c r="D23" s="13"/>
      <c r="E23" s="14"/>
      <c r="F23" s="15"/>
      <c r="G23" s="15"/>
    </row>
    <row r="24" spans="1:7" x14ac:dyDescent="0.35">
      <c r="A24" s="21" t="s">
        <v>129</v>
      </c>
      <c r="B24" s="32"/>
      <c r="C24" s="32"/>
      <c r="D24" s="22"/>
      <c r="E24" s="18">
        <v>6014.93</v>
      </c>
      <c r="F24" s="19">
        <v>0.98619999999999997</v>
      </c>
      <c r="G24" s="20"/>
    </row>
    <row r="25" spans="1:7" x14ac:dyDescent="0.35">
      <c r="A25" s="12"/>
      <c r="B25" s="30"/>
      <c r="C25" s="30"/>
      <c r="D25" s="13"/>
      <c r="E25" s="14"/>
      <c r="F25" s="15"/>
      <c r="G25" s="15"/>
    </row>
    <row r="26" spans="1:7" x14ac:dyDescent="0.35">
      <c r="A26" s="12"/>
      <c r="B26" s="30"/>
      <c r="C26" s="30"/>
      <c r="D26" s="13"/>
      <c r="E26" s="14"/>
      <c r="F26" s="15"/>
      <c r="G26" s="15"/>
    </row>
    <row r="27" spans="1:7" x14ac:dyDescent="0.35">
      <c r="A27" s="16" t="s">
        <v>130</v>
      </c>
      <c r="B27" s="30"/>
      <c r="C27" s="30"/>
      <c r="D27" s="13"/>
      <c r="E27" s="14"/>
      <c r="F27" s="15"/>
      <c r="G27" s="15"/>
    </row>
    <row r="28" spans="1:7" x14ac:dyDescent="0.35">
      <c r="A28" s="12" t="s">
        <v>131</v>
      </c>
      <c r="B28" s="30"/>
      <c r="C28" s="30"/>
      <c r="D28" s="13"/>
      <c r="E28" s="14">
        <v>79.989999999999995</v>
      </c>
      <c r="F28" s="15">
        <v>1.3100000000000001E-2</v>
      </c>
      <c r="G28" s="67">
        <v>6.1074000000000003E-2</v>
      </c>
    </row>
    <row r="29" spans="1:7" x14ac:dyDescent="0.35">
      <c r="A29" s="16" t="s">
        <v>102</v>
      </c>
      <c r="B29" s="31"/>
      <c r="C29" s="31"/>
      <c r="D29" s="17"/>
      <c r="E29" s="18">
        <v>79.989999999999995</v>
      </c>
      <c r="F29" s="19">
        <v>1.3100000000000001E-2</v>
      </c>
      <c r="G29" s="68"/>
    </row>
    <row r="30" spans="1:7" x14ac:dyDescent="0.35">
      <c r="A30" s="12"/>
      <c r="B30" s="30"/>
      <c r="C30" s="30"/>
      <c r="D30" s="13"/>
      <c r="E30" s="14"/>
      <c r="F30" s="15"/>
      <c r="G30" s="67"/>
    </row>
    <row r="31" spans="1:7" x14ac:dyDescent="0.35">
      <c r="A31" s="21" t="s">
        <v>129</v>
      </c>
      <c r="B31" s="32"/>
      <c r="C31" s="32"/>
      <c r="D31" s="22"/>
      <c r="E31" s="18">
        <v>79.989999999999995</v>
      </c>
      <c r="F31" s="19">
        <v>1.3100000000000001E-2</v>
      </c>
      <c r="G31" s="68"/>
    </row>
    <row r="32" spans="1:7" x14ac:dyDescent="0.35">
      <c r="A32" s="12" t="s">
        <v>132</v>
      </c>
      <c r="B32" s="30"/>
      <c r="C32" s="30"/>
      <c r="D32" s="13"/>
      <c r="E32" s="14">
        <v>17.762967100000001</v>
      </c>
      <c r="F32" s="15">
        <v>2.9120000000000001E-3</v>
      </c>
      <c r="G32" s="67"/>
    </row>
    <row r="33" spans="1:7" x14ac:dyDescent="0.35">
      <c r="A33" s="12" t="s">
        <v>133</v>
      </c>
      <c r="B33" s="30"/>
      <c r="C33" s="30"/>
      <c r="D33" s="13"/>
      <c r="E33" s="23">
        <v>-13.6429671</v>
      </c>
      <c r="F33" s="24">
        <v>-2.212E-3</v>
      </c>
      <c r="G33" s="67">
        <v>6.1074000000000003E-2</v>
      </c>
    </row>
    <row r="34" spans="1:7" x14ac:dyDescent="0.35">
      <c r="A34" s="25" t="s">
        <v>134</v>
      </c>
      <c r="B34" s="33"/>
      <c r="C34" s="33"/>
      <c r="D34" s="26"/>
      <c r="E34" s="27">
        <v>6099.04</v>
      </c>
      <c r="F34" s="28">
        <v>1</v>
      </c>
      <c r="G34" s="28"/>
    </row>
    <row r="36" spans="1:7" x14ac:dyDescent="0.35">
      <c r="A36" s="1" t="s">
        <v>136</v>
      </c>
    </row>
    <row r="39" spans="1:7" x14ac:dyDescent="0.35">
      <c r="A39" s="1" t="s">
        <v>1981</v>
      </c>
    </row>
    <row r="40" spans="1:7" x14ac:dyDescent="0.35">
      <c r="A40" s="47" t="s">
        <v>1982</v>
      </c>
      <c r="B40" s="34" t="s">
        <v>96</v>
      </c>
    </row>
    <row r="41" spans="1:7" x14ac:dyDescent="0.35">
      <c r="A41" t="s">
        <v>1983</v>
      </c>
    </row>
    <row r="42" spans="1:7" x14ac:dyDescent="0.35">
      <c r="A42" t="s">
        <v>1984</v>
      </c>
      <c r="B42" t="s">
        <v>1985</v>
      </c>
      <c r="C42" t="s">
        <v>1985</v>
      </c>
    </row>
    <row r="43" spans="1:7" x14ac:dyDescent="0.35">
      <c r="B43" s="48">
        <v>44834</v>
      </c>
      <c r="C43" s="48">
        <v>44865</v>
      </c>
    </row>
    <row r="44" spans="1:7" x14ac:dyDescent="0.35">
      <c r="A44" t="s">
        <v>2018</v>
      </c>
      <c r="B44" t="s">
        <v>1988</v>
      </c>
      <c r="C44">
        <v>10.054500000000001</v>
      </c>
      <c r="E44" s="2"/>
      <c r="G44"/>
    </row>
    <row r="45" spans="1:7" x14ac:dyDescent="0.35">
      <c r="A45" t="s">
        <v>1990</v>
      </c>
      <c r="B45" t="s">
        <v>1988</v>
      </c>
      <c r="C45">
        <v>10.054399999999999</v>
      </c>
      <c r="E45" s="2"/>
      <c r="G45"/>
    </row>
    <row r="46" spans="1:7" x14ac:dyDescent="0.35">
      <c r="A46" t="s">
        <v>2019</v>
      </c>
      <c r="B46" t="s">
        <v>1988</v>
      </c>
      <c r="C46">
        <v>10.0532</v>
      </c>
      <c r="E46" s="2"/>
      <c r="G46"/>
    </row>
    <row r="47" spans="1:7" x14ac:dyDescent="0.35">
      <c r="A47" t="s">
        <v>2015</v>
      </c>
      <c r="B47" t="s">
        <v>1988</v>
      </c>
      <c r="C47">
        <v>10.053100000000001</v>
      </c>
      <c r="E47" s="2"/>
      <c r="G47"/>
    </row>
    <row r="48" spans="1:7" x14ac:dyDescent="0.35">
      <c r="A48" t="s">
        <v>1999</v>
      </c>
      <c r="E48" s="2"/>
      <c r="G48"/>
    </row>
    <row r="50" spans="1:4" x14ac:dyDescent="0.35">
      <c r="A50" t="s">
        <v>2000</v>
      </c>
      <c r="B50" s="34" t="s">
        <v>96</v>
      </c>
    </row>
    <row r="51" spans="1:4" x14ac:dyDescent="0.35">
      <c r="A51" t="s">
        <v>2001</v>
      </c>
      <c r="B51" s="34" t="s">
        <v>96</v>
      </c>
    </row>
    <row r="52" spans="1:4" ht="29" x14ac:dyDescent="0.35">
      <c r="A52" s="47" t="s">
        <v>2002</v>
      </c>
      <c r="B52" s="34" t="s">
        <v>96</v>
      </c>
    </row>
    <row r="53" spans="1:4" ht="29" x14ac:dyDescent="0.35">
      <c r="A53" s="47" t="s">
        <v>2003</v>
      </c>
      <c r="B53" s="34" t="s">
        <v>96</v>
      </c>
    </row>
    <row r="54" spans="1:4" x14ac:dyDescent="0.35">
      <c r="A54" t="s">
        <v>2004</v>
      </c>
      <c r="B54" s="49">
        <v>13.818954113067999</v>
      </c>
    </row>
    <row r="55" spans="1:4" ht="43.5" x14ac:dyDescent="0.35">
      <c r="A55" s="47" t="s">
        <v>2005</v>
      </c>
      <c r="B55" s="34" t="s">
        <v>96</v>
      </c>
    </row>
    <row r="56" spans="1:4" ht="29" x14ac:dyDescent="0.35">
      <c r="A56" s="47" t="s">
        <v>2006</v>
      </c>
      <c r="B56" s="34" t="s">
        <v>96</v>
      </c>
    </row>
    <row r="57" spans="1:4" ht="29" x14ac:dyDescent="0.35">
      <c r="A57" s="47" t="s">
        <v>2009</v>
      </c>
      <c r="B57" s="34" t="s">
        <v>96</v>
      </c>
    </row>
    <row r="58" spans="1:4" ht="29" x14ac:dyDescent="0.35">
      <c r="A58" s="47" t="s">
        <v>2135</v>
      </c>
      <c r="B58" s="34" t="s">
        <v>96</v>
      </c>
    </row>
    <row r="59" spans="1:4" ht="29" x14ac:dyDescent="0.35">
      <c r="A59" s="47" t="s">
        <v>2136</v>
      </c>
      <c r="B59" s="34" t="s">
        <v>96</v>
      </c>
    </row>
    <row r="61" spans="1:4" ht="29" x14ac:dyDescent="0.35">
      <c r="A61" s="197" t="s">
        <v>2154</v>
      </c>
      <c r="B61" s="198" t="s">
        <v>2155</v>
      </c>
      <c r="C61" s="198" t="s">
        <v>2156</v>
      </c>
      <c r="D61" s="200" t="s">
        <v>2157</v>
      </c>
    </row>
    <row r="62" spans="1:4" ht="76.5" customHeight="1" x14ac:dyDescent="0.35">
      <c r="A62" s="401" t="str">
        <f>HYPERLINK("[EDEL_Portfolio Monthly Notes 31-Oct-2022.xlsx]EDCG37!A1","Edelweiss_CRISIL IBX 50 50 Gilt Plus SDL April 2037 Index Fund")</f>
        <v>Edelweiss_CRISIL IBX 50 50 Gilt Plus SDL April 2037 Index Fund</v>
      </c>
      <c r="B62" s="199"/>
      <c r="C62" s="404" t="s">
        <v>2241</v>
      </c>
      <c r="D62" s="199"/>
    </row>
  </sheetData>
  <mergeCells count="2">
    <mergeCell ref="A1:G1"/>
    <mergeCell ref="A2:G2"/>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36F02-95DD-429B-9864-F36C6A8E3030}">
  <dimension ref="A1:H98"/>
  <sheetViews>
    <sheetView showGridLines="0" workbookViewId="0">
      <pane ySplit="4" topLeftCell="A96" activePane="bottomLeft" state="frozen"/>
      <selection activeCell="A2" sqref="A2:XFD2"/>
      <selection pane="bottomLeft" activeCell="B98" sqref="B98:D98"/>
    </sheetView>
  </sheetViews>
  <sheetFormatPr defaultRowHeight="14.5" x14ac:dyDescent="0.35"/>
  <cols>
    <col min="1" max="1" width="50.453125" customWidth="1"/>
    <col min="2" max="2" width="26.26953125" customWidth="1"/>
    <col min="3" max="3" width="26.6328125" customWidth="1"/>
    <col min="4" max="4" width="22.542968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25</v>
      </c>
      <c r="B1" s="151"/>
      <c r="C1" s="151"/>
      <c r="D1" s="151"/>
      <c r="E1" s="151"/>
      <c r="F1" s="151"/>
      <c r="G1" s="151"/>
      <c r="H1" s="50" t="str">
        <f>HYPERLINK("[EDEL_Portfolio Monthly Notes 31-Oct-2022.xlsx]Index!A1","Index")</f>
        <v>Index</v>
      </c>
    </row>
    <row r="2" spans="1:8" ht="31" customHeight="1" x14ac:dyDescent="0.35">
      <c r="A2" s="151" t="s">
        <v>26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535</v>
      </c>
      <c r="B11" s="30" t="s">
        <v>536</v>
      </c>
      <c r="C11" s="30" t="s">
        <v>141</v>
      </c>
      <c r="D11" s="13">
        <v>6000000</v>
      </c>
      <c r="E11" s="14">
        <v>5967.39</v>
      </c>
      <c r="F11" s="15">
        <v>7.1400000000000005E-2</v>
      </c>
      <c r="G11" s="15">
        <v>7.4099999999999999E-2</v>
      </c>
    </row>
    <row r="12" spans="1:8" x14ac:dyDescent="0.35">
      <c r="A12" s="12" t="s">
        <v>537</v>
      </c>
      <c r="B12" s="30" t="s">
        <v>538</v>
      </c>
      <c r="C12" s="30" t="s">
        <v>141</v>
      </c>
      <c r="D12" s="13">
        <v>5000000</v>
      </c>
      <c r="E12" s="14">
        <v>5071.96</v>
      </c>
      <c r="F12" s="15">
        <v>6.0699999999999997E-2</v>
      </c>
      <c r="G12" s="15">
        <v>7.5499999999999998E-2</v>
      </c>
    </row>
    <row r="13" spans="1:8" x14ac:dyDescent="0.35">
      <c r="A13" s="12" t="s">
        <v>539</v>
      </c>
      <c r="B13" s="30" t="s">
        <v>540</v>
      </c>
      <c r="C13" s="30" t="s">
        <v>148</v>
      </c>
      <c r="D13" s="13">
        <v>5000000</v>
      </c>
      <c r="E13" s="14">
        <v>4961.99</v>
      </c>
      <c r="F13" s="15">
        <v>5.9400000000000001E-2</v>
      </c>
      <c r="G13" s="15">
        <v>7.5450000000000003E-2</v>
      </c>
    </row>
    <row r="14" spans="1:8" x14ac:dyDescent="0.35">
      <c r="A14" s="12" t="s">
        <v>541</v>
      </c>
      <c r="B14" s="30" t="s">
        <v>542</v>
      </c>
      <c r="C14" s="30" t="s">
        <v>141</v>
      </c>
      <c r="D14" s="13">
        <v>4500000</v>
      </c>
      <c r="E14" s="14">
        <v>4299.58</v>
      </c>
      <c r="F14" s="15">
        <v>5.1400000000000001E-2</v>
      </c>
      <c r="G14" s="15">
        <v>7.5399999999999995E-2</v>
      </c>
    </row>
    <row r="15" spans="1:8" x14ac:dyDescent="0.35">
      <c r="A15" s="12" t="s">
        <v>543</v>
      </c>
      <c r="B15" s="30" t="s">
        <v>544</v>
      </c>
      <c r="C15" s="30" t="s">
        <v>141</v>
      </c>
      <c r="D15" s="13">
        <v>3500000</v>
      </c>
      <c r="E15" s="14">
        <v>3489.94</v>
      </c>
      <c r="F15" s="15">
        <v>4.1799999999999997E-2</v>
      </c>
      <c r="G15" s="15">
        <v>7.4450000000000002E-2</v>
      </c>
    </row>
    <row r="16" spans="1:8" x14ac:dyDescent="0.35">
      <c r="A16" s="12" t="s">
        <v>545</v>
      </c>
      <c r="B16" s="30" t="s">
        <v>546</v>
      </c>
      <c r="C16" s="30" t="s">
        <v>148</v>
      </c>
      <c r="D16" s="13">
        <v>2500000</v>
      </c>
      <c r="E16" s="14">
        <v>2505.3200000000002</v>
      </c>
      <c r="F16" s="15">
        <v>0.03</v>
      </c>
      <c r="G16" s="15">
        <v>7.4099999999999999E-2</v>
      </c>
    </row>
    <row r="17" spans="1:7" x14ac:dyDescent="0.35">
      <c r="A17" s="12" t="s">
        <v>547</v>
      </c>
      <c r="B17" s="30" t="s">
        <v>548</v>
      </c>
      <c r="C17" s="30" t="s">
        <v>148</v>
      </c>
      <c r="D17" s="13">
        <v>2500000</v>
      </c>
      <c r="E17" s="14">
        <v>2477.77</v>
      </c>
      <c r="F17" s="15">
        <v>2.9600000000000001E-2</v>
      </c>
      <c r="G17" s="15">
        <v>7.5399999999999995E-2</v>
      </c>
    </row>
    <row r="18" spans="1:7" x14ac:dyDescent="0.35">
      <c r="A18" s="12" t="s">
        <v>549</v>
      </c>
      <c r="B18" s="30" t="s">
        <v>550</v>
      </c>
      <c r="C18" s="30" t="s">
        <v>141</v>
      </c>
      <c r="D18" s="13">
        <v>2500000</v>
      </c>
      <c r="E18" s="14">
        <v>2433.69</v>
      </c>
      <c r="F18" s="15">
        <v>2.9100000000000001E-2</v>
      </c>
      <c r="G18" s="15">
        <v>7.5499999999999998E-2</v>
      </c>
    </row>
    <row r="19" spans="1:7" x14ac:dyDescent="0.35">
      <c r="A19" s="12" t="s">
        <v>551</v>
      </c>
      <c r="B19" s="30" t="s">
        <v>552</v>
      </c>
      <c r="C19" s="30" t="s">
        <v>141</v>
      </c>
      <c r="D19" s="13">
        <v>2000000</v>
      </c>
      <c r="E19" s="14">
        <v>1981.7</v>
      </c>
      <c r="F19" s="15">
        <v>2.3699999999999999E-2</v>
      </c>
      <c r="G19" s="15">
        <v>7.4825000000000003E-2</v>
      </c>
    </row>
    <row r="20" spans="1:7" x14ac:dyDescent="0.35">
      <c r="A20" s="12" t="s">
        <v>553</v>
      </c>
      <c r="B20" s="30" t="s">
        <v>554</v>
      </c>
      <c r="C20" s="30" t="s">
        <v>141</v>
      </c>
      <c r="D20" s="13">
        <v>2000000</v>
      </c>
      <c r="E20" s="14">
        <v>1981.64</v>
      </c>
      <c r="F20" s="15">
        <v>2.3699999999999999E-2</v>
      </c>
      <c r="G20" s="15">
        <v>7.5499999999999998E-2</v>
      </c>
    </row>
    <row r="21" spans="1:7" x14ac:dyDescent="0.35">
      <c r="A21" s="12" t="s">
        <v>555</v>
      </c>
      <c r="B21" s="30" t="s">
        <v>556</v>
      </c>
      <c r="C21" s="30" t="s">
        <v>148</v>
      </c>
      <c r="D21" s="13">
        <v>1000000</v>
      </c>
      <c r="E21" s="14">
        <v>990.39</v>
      </c>
      <c r="F21" s="15">
        <v>1.1900000000000001E-2</v>
      </c>
      <c r="G21" s="15">
        <v>7.5450000000000003E-2</v>
      </c>
    </row>
    <row r="22" spans="1:7" x14ac:dyDescent="0.35">
      <c r="A22" s="12" t="s">
        <v>557</v>
      </c>
      <c r="B22" s="30" t="s">
        <v>558</v>
      </c>
      <c r="C22" s="30" t="s">
        <v>141</v>
      </c>
      <c r="D22" s="13">
        <v>500000</v>
      </c>
      <c r="E22" s="14">
        <v>513.80999999999995</v>
      </c>
      <c r="F22" s="15">
        <v>6.1000000000000004E-3</v>
      </c>
      <c r="G22" s="15">
        <v>7.5499999999999998E-2</v>
      </c>
    </row>
    <row r="23" spans="1:7" x14ac:dyDescent="0.35">
      <c r="A23" s="12" t="s">
        <v>559</v>
      </c>
      <c r="B23" s="30" t="s">
        <v>560</v>
      </c>
      <c r="C23" s="30" t="s">
        <v>141</v>
      </c>
      <c r="D23" s="13">
        <v>500000</v>
      </c>
      <c r="E23" s="14">
        <v>510.31</v>
      </c>
      <c r="F23" s="15">
        <v>6.1000000000000004E-3</v>
      </c>
      <c r="G23" s="15">
        <v>7.4550000000000005E-2</v>
      </c>
    </row>
    <row r="24" spans="1:7" x14ac:dyDescent="0.35">
      <c r="A24" s="12" t="s">
        <v>561</v>
      </c>
      <c r="B24" s="30" t="s">
        <v>562</v>
      </c>
      <c r="C24" s="30" t="s">
        <v>148</v>
      </c>
      <c r="D24" s="13">
        <v>500000</v>
      </c>
      <c r="E24" s="14">
        <v>494.84</v>
      </c>
      <c r="F24" s="15">
        <v>5.8999999999999999E-3</v>
      </c>
      <c r="G24" s="15">
        <v>7.7049999999999993E-2</v>
      </c>
    </row>
    <row r="25" spans="1:7" x14ac:dyDescent="0.35">
      <c r="A25" s="16" t="s">
        <v>102</v>
      </c>
      <c r="B25" s="31"/>
      <c r="C25" s="31"/>
      <c r="D25" s="17"/>
      <c r="E25" s="18">
        <v>37680.33</v>
      </c>
      <c r="F25" s="19">
        <v>0.45079999999999998</v>
      </c>
      <c r="G25" s="20"/>
    </row>
    <row r="26" spans="1:7" x14ac:dyDescent="0.35">
      <c r="A26" s="12"/>
      <c r="B26" s="30"/>
      <c r="C26" s="30"/>
      <c r="D26" s="13"/>
      <c r="E26" s="14"/>
      <c r="F26" s="15"/>
      <c r="G26" s="15"/>
    </row>
    <row r="27" spans="1:7" x14ac:dyDescent="0.35">
      <c r="A27" s="16" t="s">
        <v>403</v>
      </c>
      <c r="B27" s="30"/>
      <c r="C27" s="30"/>
      <c r="D27" s="13"/>
      <c r="E27" s="14"/>
      <c r="F27" s="15"/>
      <c r="G27" s="15"/>
    </row>
    <row r="28" spans="1:7" x14ac:dyDescent="0.35">
      <c r="A28" s="12" t="s">
        <v>563</v>
      </c>
      <c r="B28" s="30" t="s">
        <v>564</v>
      </c>
      <c r="C28" s="30" t="s">
        <v>101</v>
      </c>
      <c r="D28" s="13">
        <v>3500000</v>
      </c>
      <c r="E28" s="14">
        <v>3337.82</v>
      </c>
      <c r="F28" s="15">
        <v>3.9899999999999998E-2</v>
      </c>
      <c r="G28" s="15">
        <v>7.1867E-2</v>
      </c>
    </row>
    <row r="29" spans="1:7" x14ac:dyDescent="0.35">
      <c r="A29" s="16" t="s">
        <v>102</v>
      </c>
      <c r="B29" s="31"/>
      <c r="C29" s="31"/>
      <c r="D29" s="17"/>
      <c r="E29" s="18">
        <v>3337.82</v>
      </c>
      <c r="F29" s="19">
        <v>3.9899999999999998E-2</v>
      </c>
      <c r="G29" s="20"/>
    </row>
    <row r="30" spans="1:7" x14ac:dyDescent="0.35">
      <c r="A30" s="16" t="s">
        <v>526</v>
      </c>
      <c r="B30" s="30"/>
      <c r="C30" s="30"/>
      <c r="D30" s="13"/>
      <c r="E30" s="14"/>
      <c r="F30" s="15"/>
      <c r="G30" s="15"/>
    </row>
    <row r="31" spans="1:7" x14ac:dyDescent="0.35">
      <c r="A31" s="12" t="s">
        <v>565</v>
      </c>
      <c r="B31" s="30" t="s">
        <v>566</v>
      </c>
      <c r="C31" s="30" t="s">
        <v>101</v>
      </c>
      <c r="D31" s="13">
        <v>5000000</v>
      </c>
      <c r="E31" s="14">
        <v>5090.7299999999996</v>
      </c>
      <c r="F31" s="15">
        <v>6.0900000000000003E-2</v>
      </c>
      <c r="G31" s="15">
        <v>7.4258000000000005E-2</v>
      </c>
    </row>
    <row r="32" spans="1:7" x14ac:dyDescent="0.35">
      <c r="A32" s="12" t="s">
        <v>567</v>
      </c>
      <c r="B32" s="30" t="s">
        <v>568</v>
      </c>
      <c r="C32" s="30" t="s">
        <v>101</v>
      </c>
      <c r="D32" s="13">
        <v>3500000</v>
      </c>
      <c r="E32" s="14">
        <v>3570.92</v>
      </c>
      <c r="F32" s="15">
        <v>4.2700000000000002E-2</v>
      </c>
      <c r="G32" s="15">
        <v>7.4719999999999995E-2</v>
      </c>
    </row>
    <row r="33" spans="1:7" x14ac:dyDescent="0.35">
      <c r="A33" s="12" t="s">
        <v>569</v>
      </c>
      <c r="B33" s="30" t="s">
        <v>570</v>
      </c>
      <c r="C33" s="30" t="s">
        <v>101</v>
      </c>
      <c r="D33" s="13">
        <v>2500000</v>
      </c>
      <c r="E33" s="14">
        <v>2549.86</v>
      </c>
      <c r="F33" s="15">
        <v>3.0499999999999999E-2</v>
      </c>
      <c r="G33" s="15">
        <v>7.4847999999999998E-2</v>
      </c>
    </row>
    <row r="34" spans="1:7" x14ac:dyDescent="0.35">
      <c r="A34" s="12" t="s">
        <v>571</v>
      </c>
      <c r="B34" s="30" t="s">
        <v>572</v>
      </c>
      <c r="C34" s="30" t="s">
        <v>101</v>
      </c>
      <c r="D34" s="13">
        <v>2500000</v>
      </c>
      <c r="E34" s="14">
        <v>2549.77</v>
      </c>
      <c r="F34" s="15">
        <v>3.0499999999999999E-2</v>
      </c>
      <c r="G34" s="15">
        <v>7.4565000000000006E-2</v>
      </c>
    </row>
    <row r="35" spans="1:7" x14ac:dyDescent="0.35">
      <c r="A35" s="12" t="s">
        <v>573</v>
      </c>
      <c r="B35" s="30" t="s">
        <v>574</v>
      </c>
      <c r="C35" s="30" t="s">
        <v>101</v>
      </c>
      <c r="D35" s="13">
        <v>2500000</v>
      </c>
      <c r="E35" s="14">
        <v>2548.5300000000002</v>
      </c>
      <c r="F35" s="15">
        <v>3.0499999999999999E-2</v>
      </c>
      <c r="G35" s="15">
        <v>7.4965000000000004E-2</v>
      </c>
    </row>
    <row r="36" spans="1:7" x14ac:dyDescent="0.35">
      <c r="A36" s="12" t="s">
        <v>575</v>
      </c>
      <c r="B36" s="30" t="s">
        <v>576</v>
      </c>
      <c r="C36" s="30" t="s">
        <v>101</v>
      </c>
      <c r="D36" s="13">
        <v>2500000</v>
      </c>
      <c r="E36" s="14">
        <v>2543.2800000000002</v>
      </c>
      <c r="F36" s="15">
        <v>3.04E-2</v>
      </c>
      <c r="G36" s="15">
        <v>7.4704999999999994E-2</v>
      </c>
    </row>
    <row r="37" spans="1:7" x14ac:dyDescent="0.35">
      <c r="A37" s="12" t="s">
        <v>577</v>
      </c>
      <c r="B37" s="30" t="s">
        <v>578</v>
      </c>
      <c r="C37" s="30" t="s">
        <v>101</v>
      </c>
      <c r="D37" s="13">
        <v>2500000</v>
      </c>
      <c r="E37" s="14">
        <v>2536.5100000000002</v>
      </c>
      <c r="F37" s="15">
        <v>3.04E-2</v>
      </c>
      <c r="G37" s="15">
        <v>7.4361999999999998E-2</v>
      </c>
    </row>
    <row r="38" spans="1:7" x14ac:dyDescent="0.35">
      <c r="A38" s="12" t="s">
        <v>579</v>
      </c>
      <c r="B38" s="30" t="s">
        <v>580</v>
      </c>
      <c r="C38" s="30" t="s">
        <v>101</v>
      </c>
      <c r="D38" s="13">
        <v>2500000</v>
      </c>
      <c r="E38" s="14">
        <v>2533.5</v>
      </c>
      <c r="F38" s="15">
        <v>3.0300000000000001E-2</v>
      </c>
      <c r="G38" s="15">
        <v>7.4537000000000006E-2</v>
      </c>
    </row>
    <row r="39" spans="1:7" x14ac:dyDescent="0.35">
      <c r="A39" s="12" t="s">
        <v>581</v>
      </c>
      <c r="B39" s="30" t="s">
        <v>582</v>
      </c>
      <c r="C39" s="30" t="s">
        <v>101</v>
      </c>
      <c r="D39" s="13">
        <v>2500000</v>
      </c>
      <c r="E39" s="14">
        <v>2526.89</v>
      </c>
      <c r="F39" s="15">
        <v>3.0200000000000001E-2</v>
      </c>
      <c r="G39" s="15">
        <v>7.4151999999999996E-2</v>
      </c>
    </row>
    <row r="40" spans="1:7" x14ac:dyDescent="0.35">
      <c r="A40" s="12" t="s">
        <v>583</v>
      </c>
      <c r="B40" s="30" t="s">
        <v>584</v>
      </c>
      <c r="C40" s="30" t="s">
        <v>101</v>
      </c>
      <c r="D40" s="13">
        <v>2000000</v>
      </c>
      <c r="E40" s="14">
        <v>2036.24</v>
      </c>
      <c r="F40" s="15">
        <v>2.4400000000000002E-2</v>
      </c>
      <c r="G40" s="15">
        <v>7.4399999999999994E-2</v>
      </c>
    </row>
    <row r="41" spans="1:7" x14ac:dyDescent="0.35">
      <c r="A41" s="12" t="s">
        <v>585</v>
      </c>
      <c r="B41" s="30" t="s">
        <v>586</v>
      </c>
      <c r="C41" s="30" t="s">
        <v>101</v>
      </c>
      <c r="D41" s="13">
        <v>2000000</v>
      </c>
      <c r="E41" s="14">
        <v>2035.78</v>
      </c>
      <c r="F41" s="15">
        <v>2.4400000000000002E-2</v>
      </c>
      <c r="G41" s="15">
        <v>7.4302000000000007E-2</v>
      </c>
    </row>
    <row r="42" spans="1:7" x14ac:dyDescent="0.35">
      <c r="A42" s="12" t="s">
        <v>587</v>
      </c>
      <c r="B42" s="30" t="s">
        <v>588</v>
      </c>
      <c r="C42" s="30" t="s">
        <v>101</v>
      </c>
      <c r="D42" s="13">
        <v>2000000</v>
      </c>
      <c r="E42" s="14">
        <v>2033.89</v>
      </c>
      <c r="F42" s="15">
        <v>2.4299999999999999E-2</v>
      </c>
      <c r="G42" s="15">
        <v>7.4759000000000006E-2</v>
      </c>
    </row>
    <row r="43" spans="1:7" x14ac:dyDescent="0.35">
      <c r="A43" s="12" t="s">
        <v>589</v>
      </c>
      <c r="B43" s="30" t="s">
        <v>590</v>
      </c>
      <c r="C43" s="30" t="s">
        <v>101</v>
      </c>
      <c r="D43" s="13">
        <v>2000000</v>
      </c>
      <c r="E43" s="14">
        <v>2027.2</v>
      </c>
      <c r="F43" s="15">
        <v>2.4299999999999999E-2</v>
      </c>
      <c r="G43" s="15">
        <v>7.4361999999999998E-2</v>
      </c>
    </row>
    <row r="44" spans="1:7" x14ac:dyDescent="0.35">
      <c r="A44" s="12" t="s">
        <v>591</v>
      </c>
      <c r="B44" s="30" t="s">
        <v>592</v>
      </c>
      <c r="C44" s="30" t="s">
        <v>101</v>
      </c>
      <c r="D44" s="13">
        <v>1000000</v>
      </c>
      <c r="E44" s="14">
        <v>1021.21</v>
      </c>
      <c r="F44" s="15">
        <v>1.2200000000000001E-2</v>
      </c>
      <c r="G44" s="15">
        <v>7.4720999999999996E-2</v>
      </c>
    </row>
    <row r="45" spans="1:7" x14ac:dyDescent="0.35">
      <c r="A45" s="12" t="s">
        <v>593</v>
      </c>
      <c r="B45" s="30" t="s">
        <v>594</v>
      </c>
      <c r="C45" s="30" t="s">
        <v>101</v>
      </c>
      <c r="D45" s="13">
        <v>1000000</v>
      </c>
      <c r="E45" s="14">
        <v>1018.75</v>
      </c>
      <c r="F45" s="15">
        <v>1.2200000000000001E-2</v>
      </c>
      <c r="G45" s="15">
        <v>7.4404999999999999E-2</v>
      </c>
    </row>
    <row r="46" spans="1:7" x14ac:dyDescent="0.35">
      <c r="A46" s="12" t="s">
        <v>595</v>
      </c>
      <c r="B46" s="30" t="s">
        <v>596</v>
      </c>
      <c r="C46" s="30" t="s">
        <v>101</v>
      </c>
      <c r="D46" s="13">
        <v>1000000</v>
      </c>
      <c r="E46" s="14">
        <v>1018.16</v>
      </c>
      <c r="F46" s="15">
        <v>1.2200000000000001E-2</v>
      </c>
      <c r="G46" s="15">
        <v>7.4462E-2</v>
      </c>
    </row>
    <row r="47" spans="1:7" x14ac:dyDescent="0.35">
      <c r="A47" s="12" t="s">
        <v>597</v>
      </c>
      <c r="B47" s="30" t="s">
        <v>598</v>
      </c>
      <c r="C47" s="30" t="s">
        <v>101</v>
      </c>
      <c r="D47" s="13">
        <v>1000000</v>
      </c>
      <c r="E47" s="14">
        <v>967.02</v>
      </c>
      <c r="F47" s="15">
        <v>1.1599999999999999E-2</v>
      </c>
      <c r="G47" s="15">
        <v>7.4001999999999998E-2</v>
      </c>
    </row>
    <row r="48" spans="1:7" x14ac:dyDescent="0.35">
      <c r="A48" s="12" t="s">
        <v>599</v>
      </c>
      <c r="B48" s="30" t="s">
        <v>600</v>
      </c>
      <c r="C48" s="30" t="s">
        <v>101</v>
      </c>
      <c r="D48" s="13">
        <v>500000</v>
      </c>
      <c r="E48" s="14">
        <v>510.08</v>
      </c>
      <c r="F48" s="15">
        <v>6.1000000000000004E-3</v>
      </c>
      <c r="G48" s="15">
        <v>7.4565000000000006E-2</v>
      </c>
    </row>
    <row r="49" spans="1:7" x14ac:dyDescent="0.35">
      <c r="A49" s="12" t="s">
        <v>601</v>
      </c>
      <c r="B49" s="30" t="s">
        <v>602</v>
      </c>
      <c r="C49" s="30" t="s">
        <v>101</v>
      </c>
      <c r="D49" s="13">
        <v>500000</v>
      </c>
      <c r="E49" s="14">
        <v>510.08</v>
      </c>
      <c r="F49" s="15">
        <v>6.1000000000000004E-3</v>
      </c>
      <c r="G49" s="15">
        <v>7.4462E-2</v>
      </c>
    </row>
    <row r="50" spans="1:7" x14ac:dyDescent="0.35">
      <c r="A50" s="12" t="s">
        <v>603</v>
      </c>
      <c r="B50" s="30" t="s">
        <v>604</v>
      </c>
      <c r="C50" s="30" t="s">
        <v>101</v>
      </c>
      <c r="D50" s="13">
        <v>500000</v>
      </c>
      <c r="E50" s="14">
        <v>507.2</v>
      </c>
      <c r="F50" s="15">
        <v>6.1000000000000004E-3</v>
      </c>
      <c r="G50" s="15">
        <v>7.4537000000000006E-2</v>
      </c>
    </row>
    <row r="51" spans="1:7" x14ac:dyDescent="0.35">
      <c r="A51" s="16" t="s">
        <v>102</v>
      </c>
      <c r="B51" s="31"/>
      <c r="C51" s="31"/>
      <c r="D51" s="17"/>
      <c r="E51" s="18">
        <v>40135.599999999999</v>
      </c>
      <c r="F51" s="19">
        <v>0.4803</v>
      </c>
      <c r="G51" s="20"/>
    </row>
    <row r="52" spans="1:7" x14ac:dyDescent="0.35">
      <c r="A52" s="12"/>
      <c r="B52" s="30"/>
      <c r="C52" s="30"/>
      <c r="D52" s="13"/>
      <c r="E52" s="14"/>
      <c r="F52" s="15"/>
      <c r="G52" s="15"/>
    </row>
    <row r="53" spans="1:7" x14ac:dyDescent="0.35">
      <c r="A53" s="12"/>
      <c r="B53" s="30"/>
      <c r="C53" s="30"/>
      <c r="D53" s="13"/>
      <c r="E53" s="14"/>
      <c r="F53" s="15"/>
      <c r="G53" s="15"/>
    </row>
    <row r="54" spans="1:7" x14ac:dyDescent="0.35">
      <c r="A54" s="16" t="s">
        <v>192</v>
      </c>
      <c r="B54" s="30"/>
      <c r="C54" s="30"/>
      <c r="D54" s="13"/>
      <c r="E54" s="14"/>
      <c r="F54" s="15"/>
      <c r="G54" s="15"/>
    </row>
    <row r="55" spans="1:7" x14ac:dyDescent="0.35">
      <c r="A55" s="16" t="s">
        <v>102</v>
      </c>
      <c r="B55" s="30"/>
      <c r="C55" s="30"/>
      <c r="D55" s="13"/>
      <c r="E55" s="35" t="s">
        <v>96</v>
      </c>
      <c r="F55" s="36" t="s">
        <v>96</v>
      </c>
      <c r="G55" s="15"/>
    </row>
    <row r="56" spans="1:7" x14ac:dyDescent="0.35">
      <c r="A56" s="12"/>
      <c r="B56" s="30"/>
      <c r="C56" s="30"/>
      <c r="D56" s="13"/>
      <c r="E56" s="14"/>
      <c r="F56" s="15"/>
      <c r="G56" s="15"/>
    </row>
    <row r="57" spans="1:7" x14ac:dyDescent="0.35">
      <c r="A57" s="16" t="s">
        <v>193</v>
      </c>
      <c r="B57" s="30"/>
      <c r="C57" s="30"/>
      <c r="D57" s="13"/>
      <c r="E57" s="14"/>
      <c r="F57" s="15"/>
      <c r="G57" s="15"/>
    </row>
    <row r="58" spans="1:7" x14ac:dyDescent="0.35">
      <c r="A58" s="16" t="s">
        <v>102</v>
      </c>
      <c r="B58" s="30"/>
      <c r="C58" s="30"/>
      <c r="D58" s="13"/>
      <c r="E58" s="35" t="s">
        <v>96</v>
      </c>
      <c r="F58" s="36" t="s">
        <v>96</v>
      </c>
      <c r="G58" s="15"/>
    </row>
    <row r="59" spans="1:7" x14ac:dyDescent="0.35">
      <c r="A59" s="12"/>
      <c r="B59" s="30"/>
      <c r="C59" s="30"/>
      <c r="D59" s="13"/>
      <c r="E59" s="14"/>
      <c r="F59" s="15"/>
      <c r="G59" s="15"/>
    </row>
    <row r="60" spans="1:7" x14ac:dyDescent="0.35">
      <c r="A60" s="21" t="s">
        <v>129</v>
      </c>
      <c r="B60" s="32"/>
      <c r="C60" s="32"/>
      <c r="D60" s="22"/>
      <c r="E60" s="18">
        <v>81153.75</v>
      </c>
      <c r="F60" s="19">
        <v>0.97099999999999997</v>
      </c>
      <c r="G60" s="20"/>
    </row>
    <row r="61" spans="1:7" x14ac:dyDescent="0.35">
      <c r="A61" s="12"/>
      <c r="B61" s="30"/>
      <c r="C61" s="30"/>
      <c r="D61" s="13"/>
      <c r="E61" s="14"/>
      <c r="F61" s="15"/>
      <c r="G61" s="15"/>
    </row>
    <row r="62" spans="1:7" x14ac:dyDescent="0.35">
      <c r="A62" s="12"/>
      <c r="B62" s="30"/>
      <c r="C62" s="30"/>
      <c r="D62" s="13"/>
      <c r="E62" s="14"/>
      <c r="F62" s="15"/>
      <c r="G62" s="15"/>
    </row>
    <row r="63" spans="1:7" x14ac:dyDescent="0.35">
      <c r="A63" s="16" t="s">
        <v>130</v>
      </c>
      <c r="B63" s="30"/>
      <c r="C63" s="30"/>
      <c r="D63" s="13"/>
      <c r="E63" s="14"/>
      <c r="F63" s="15"/>
      <c r="G63" s="15"/>
    </row>
    <row r="64" spans="1:7" x14ac:dyDescent="0.35">
      <c r="A64" s="12" t="s">
        <v>131</v>
      </c>
      <c r="B64" s="30"/>
      <c r="C64" s="30"/>
      <c r="D64" s="13"/>
      <c r="E64" s="14">
        <v>844.86</v>
      </c>
      <c r="F64" s="15">
        <v>1.01E-2</v>
      </c>
      <c r="G64" s="69">
        <v>6.1074000000000003E-2</v>
      </c>
    </row>
    <row r="65" spans="1:7" x14ac:dyDescent="0.35">
      <c r="A65" s="16" t="s">
        <v>102</v>
      </c>
      <c r="B65" s="31"/>
      <c r="C65" s="31"/>
      <c r="D65" s="17"/>
      <c r="E65" s="18">
        <v>844.86</v>
      </c>
      <c r="F65" s="19">
        <v>1.01E-2</v>
      </c>
      <c r="G65" s="70"/>
    </row>
    <row r="66" spans="1:7" x14ac:dyDescent="0.35">
      <c r="A66" s="12"/>
      <c r="B66" s="30"/>
      <c r="C66" s="30"/>
      <c r="D66" s="13"/>
      <c r="E66" s="14"/>
      <c r="F66" s="15"/>
      <c r="G66" s="69"/>
    </row>
    <row r="67" spans="1:7" x14ac:dyDescent="0.35">
      <c r="A67" s="21" t="s">
        <v>129</v>
      </c>
      <c r="B67" s="32"/>
      <c r="C67" s="32"/>
      <c r="D67" s="22"/>
      <c r="E67" s="18">
        <v>844.86</v>
      </c>
      <c r="F67" s="19">
        <v>1.01E-2</v>
      </c>
      <c r="G67" s="70"/>
    </row>
    <row r="68" spans="1:7" x14ac:dyDescent="0.35">
      <c r="A68" s="12" t="s">
        <v>132</v>
      </c>
      <c r="B68" s="30"/>
      <c r="C68" s="30"/>
      <c r="D68" s="13"/>
      <c r="E68" s="14">
        <v>1623.9324134999999</v>
      </c>
      <c r="F68" s="15">
        <v>1.9431E-2</v>
      </c>
      <c r="G68" s="69"/>
    </row>
    <row r="69" spans="1:7" x14ac:dyDescent="0.35">
      <c r="A69" s="12" t="s">
        <v>133</v>
      </c>
      <c r="B69" s="30"/>
      <c r="C69" s="30"/>
      <c r="D69" s="13"/>
      <c r="E69" s="23">
        <v>-49.292413500000002</v>
      </c>
      <c r="F69" s="24">
        <v>-5.31E-4</v>
      </c>
      <c r="G69" s="69">
        <v>6.1074000000000003E-2</v>
      </c>
    </row>
    <row r="70" spans="1:7" x14ac:dyDescent="0.35">
      <c r="A70" s="25" t="s">
        <v>134</v>
      </c>
      <c r="B70" s="33"/>
      <c r="C70" s="33"/>
      <c r="D70" s="26"/>
      <c r="E70" s="27">
        <v>83573.25</v>
      </c>
      <c r="F70" s="28">
        <v>1</v>
      </c>
      <c r="G70" s="28"/>
    </row>
    <row r="72" spans="1:7" x14ac:dyDescent="0.35">
      <c r="A72" s="1" t="s">
        <v>136</v>
      </c>
    </row>
    <row r="75" spans="1:7" x14ac:dyDescent="0.35">
      <c r="A75" s="1" t="s">
        <v>1981</v>
      </c>
    </row>
    <row r="76" spans="1:7" x14ac:dyDescent="0.35">
      <c r="A76" s="47" t="s">
        <v>1982</v>
      </c>
      <c r="B76" s="34" t="s">
        <v>96</v>
      </c>
    </row>
    <row r="77" spans="1:7" x14ac:dyDescent="0.35">
      <c r="A77" t="s">
        <v>1983</v>
      </c>
    </row>
    <row r="78" spans="1:7" x14ac:dyDescent="0.35">
      <c r="A78" t="s">
        <v>1984</v>
      </c>
      <c r="B78" t="s">
        <v>1985</v>
      </c>
      <c r="C78" t="s">
        <v>1985</v>
      </c>
    </row>
    <row r="79" spans="1:7" x14ac:dyDescent="0.35">
      <c r="B79" s="48">
        <v>44834</v>
      </c>
      <c r="C79" s="48">
        <v>44865</v>
      </c>
    </row>
    <row r="80" spans="1:7" x14ac:dyDescent="0.35">
      <c r="A80" t="s">
        <v>2018</v>
      </c>
      <c r="B80">
        <v>10.000400000000001</v>
      </c>
      <c r="C80">
        <v>10.0509</v>
      </c>
      <c r="E80" s="2"/>
      <c r="G80"/>
    </row>
    <row r="81" spans="1:7" x14ac:dyDescent="0.35">
      <c r="A81" t="s">
        <v>1990</v>
      </c>
      <c r="B81">
        <v>10.0006</v>
      </c>
      <c r="C81">
        <v>10.0511</v>
      </c>
      <c r="E81" s="2"/>
      <c r="G81"/>
    </row>
    <row r="82" spans="1:7" x14ac:dyDescent="0.35">
      <c r="A82" t="s">
        <v>2019</v>
      </c>
      <c r="B82">
        <v>9.9893000000000001</v>
      </c>
      <c r="C82">
        <v>10.038</v>
      </c>
      <c r="E82" s="2"/>
      <c r="G82"/>
    </row>
    <row r="83" spans="1:7" x14ac:dyDescent="0.35">
      <c r="A83" t="s">
        <v>2015</v>
      </c>
      <c r="B83">
        <v>9.9894999999999996</v>
      </c>
      <c r="C83">
        <v>10.0383</v>
      </c>
      <c r="E83" s="2"/>
      <c r="G83"/>
    </row>
    <row r="84" spans="1:7" x14ac:dyDescent="0.35">
      <c r="E84" s="2"/>
      <c r="G84"/>
    </row>
    <row r="85" spans="1:7" x14ac:dyDescent="0.35">
      <c r="A85" t="s">
        <v>2000</v>
      </c>
      <c r="B85" s="34" t="s">
        <v>96</v>
      </c>
    </row>
    <row r="86" spans="1:7" x14ac:dyDescent="0.35">
      <c r="A86" t="s">
        <v>2001</v>
      </c>
      <c r="B86" s="34" t="s">
        <v>96</v>
      </c>
    </row>
    <row r="87" spans="1:7" ht="29" x14ac:dyDescent="0.35">
      <c r="A87" s="47" t="s">
        <v>2002</v>
      </c>
      <c r="B87" s="34" t="s">
        <v>96</v>
      </c>
    </row>
    <row r="88" spans="1:7" ht="29" x14ac:dyDescent="0.35">
      <c r="A88" s="47" t="s">
        <v>2003</v>
      </c>
      <c r="B88" s="34" t="s">
        <v>96</v>
      </c>
    </row>
    <row r="89" spans="1:7" x14ac:dyDescent="0.35">
      <c r="A89" t="s">
        <v>2004</v>
      </c>
      <c r="B89" s="49">
        <v>2.7115012454948699</v>
      </c>
    </row>
    <row r="90" spans="1:7" ht="43.5" x14ac:dyDescent="0.35">
      <c r="A90" s="47" t="s">
        <v>2005</v>
      </c>
      <c r="B90" s="34" t="s">
        <v>96</v>
      </c>
    </row>
    <row r="91" spans="1:7" ht="29" x14ac:dyDescent="0.35">
      <c r="A91" s="47" t="s">
        <v>2006</v>
      </c>
      <c r="B91" s="34" t="s">
        <v>96</v>
      </c>
    </row>
    <row r="92" spans="1:7" ht="29" x14ac:dyDescent="0.35">
      <c r="A92" s="47" t="s">
        <v>2009</v>
      </c>
      <c r="B92" s="34" t="s">
        <v>96</v>
      </c>
    </row>
    <row r="93" spans="1:7" ht="29" x14ac:dyDescent="0.35">
      <c r="A93" s="47" t="s">
        <v>2135</v>
      </c>
      <c r="B93" s="34" t="s">
        <v>96</v>
      </c>
    </row>
    <row r="94" spans="1:7" ht="29" x14ac:dyDescent="0.35">
      <c r="A94" s="47" t="s">
        <v>2136</v>
      </c>
      <c r="B94" s="34" t="s">
        <v>96</v>
      </c>
    </row>
    <row r="97" spans="1:4" ht="29" x14ac:dyDescent="0.35">
      <c r="A97" s="201" t="s">
        <v>2154</v>
      </c>
      <c r="B97" s="202" t="s">
        <v>2155</v>
      </c>
      <c r="C97" s="202" t="s">
        <v>2156</v>
      </c>
      <c r="D97" s="206" t="s">
        <v>2157</v>
      </c>
    </row>
    <row r="98" spans="1:4" ht="59.5" customHeight="1" x14ac:dyDescent="0.35">
      <c r="A98" s="205" t="s">
        <v>2176</v>
      </c>
      <c r="B98" s="204"/>
      <c r="C98" s="203" t="s">
        <v>2177</v>
      </c>
      <c r="D98" s="204"/>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3C34-A900-4B02-823C-4F830BB89FFF}">
  <dimension ref="A1:H51"/>
  <sheetViews>
    <sheetView showGridLines="0" workbookViewId="0">
      <pane ySplit="4" topLeftCell="A51" activePane="bottomLeft" state="frozen"/>
      <selection activeCell="A2" sqref="A2:XFD2"/>
      <selection pane="bottomLeft" activeCell="B51" sqref="B51:D51"/>
    </sheetView>
  </sheetViews>
  <sheetFormatPr defaultRowHeight="14.5" x14ac:dyDescent="0.35"/>
  <cols>
    <col min="1" max="1" width="50.453125" customWidth="1"/>
    <col min="2" max="2" width="23.453125" customWidth="1"/>
    <col min="3" max="3" width="26.6328125" customWidth="1"/>
    <col min="4" max="4" width="21.8164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27</v>
      </c>
      <c r="B1" s="151"/>
      <c r="C1" s="151"/>
      <c r="D1" s="151"/>
      <c r="E1" s="151"/>
      <c r="F1" s="151"/>
      <c r="G1" s="151"/>
      <c r="H1" s="50" t="str">
        <f>HYPERLINK("[EDEL_Portfolio Monthly Notes 31-Oct-2022.xlsx]Index!A1","Index")</f>
        <v>Index</v>
      </c>
    </row>
    <row r="2" spans="1:8" ht="31" customHeight="1" x14ac:dyDescent="0.35">
      <c r="A2" s="151" t="s">
        <v>28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605</v>
      </c>
      <c r="B10" s="30"/>
      <c r="C10" s="30"/>
      <c r="D10" s="13"/>
      <c r="E10" s="14"/>
      <c r="F10" s="15"/>
      <c r="G10" s="15"/>
    </row>
    <row r="11" spans="1:8" x14ac:dyDescent="0.35">
      <c r="A11" s="12" t="s">
        <v>606</v>
      </c>
      <c r="B11" s="30" t="s">
        <v>607</v>
      </c>
      <c r="C11" s="30"/>
      <c r="D11" s="13">
        <v>27573010</v>
      </c>
      <c r="E11" s="14">
        <v>329431.28999999998</v>
      </c>
      <c r="F11" s="15">
        <v>0.98460000000000003</v>
      </c>
      <c r="G11" s="15"/>
    </row>
    <row r="12" spans="1:8" x14ac:dyDescent="0.35">
      <c r="A12" s="16" t="s">
        <v>102</v>
      </c>
      <c r="B12" s="31"/>
      <c r="C12" s="31"/>
      <c r="D12" s="17"/>
      <c r="E12" s="18">
        <v>329431.28999999998</v>
      </c>
      <c r="F12" s="19">
        <v>0.98460000000000003</v>
      </c>
      <c r="G12" s="20"/>
    </row>
    <row r="13" spans="1:8" x14ac:dyDescent="0.35">
      <c r="A13" s="12"/>
      <c r="B13" s="30"/>
      <c r="C13" s="30"/>
      <c r="D13" s="13"/>
      <c r="E13" s="14"/>
      <c r="F13" s="15"/>
      <c r="G13" s="15"/>
    </row>
    <row r="14" spans="1:8" x14ac:dyDescent="0.35">
      <c r="A14" s="21" t="s">
        <v>129</v>
      </c>
      <c r="B14" s="32"/>
      <c r="C14" s="32"/>
      <c r="D14" s="22"/>
      <c r="E14" s="18">
        <v>329431.28999999998</v>
      </c>
      <c r="F14" s="19">
        <v>0.98460000000000003</v>
      </c>
      <c r="G14" s="20"/>
    </row>
    <row r="15" spans="1:8" x14ac:dyDescent="0.35">
      <c r="A15" s="12"/>
      <c r="B15" s="30"/>
      <c r="C15" s="30"/>
      <c r="D15" s="13"/>
      <c r="E15" s="14"/>
      <c r="F15" s="15"/>
      <c r="G15" s="15"/>
    </row>
    <row r="16" spans="1:8" x14ac:dyDescent="0.35">
      <c r="A16" s="16" t="s">
        <v>130</v>
      </c>
      <c r="B16" s="30"/>
      <c r="C16" s="30"/>
      <c r="D16" s="13"/>
      <c r="E16" s="14"/>
      <c r="F16" s="15"/>
      <c r="G16" s="15"/>
    </row>
    <row r="17" spans="1:7" x14ac:dyDescent="0.35">
      <c r="A17" s="12" t="s">
        <v>131</v>
      </c>
      <c r="B17" s="30"/>
      <c r="C17" s="30"/>
      <c r="D17" s="13"/>
      <c r="E17" s="14">
        <v>2534.58</v>
      </c>
      <c r="F17" s="15">
        <v>7.6E-3</v>
      </c>
      <c r="G17" s="71">
        <v>6.1074000000000003E-2</v>
      </c>
    </row>
    <row r="18" spans="1:7" x14ac:dyDescent="0.35">
      <c r="A18" s="16" t="s">
        <v>102</v>
      </c>
      <c r="B18" s="31"/>
      <c r="C18" s="31"/>
      <c r="D18" s="17"/>
      <c r="E18" s="18">
        <v>2534.58</v>
      </c>
      <c r="F18" s="19">
        <v>7.6E-3</v>
      </c>
      <c r="G18" s="72"/>
    </row>
    <row r="19" spans="1:7" x14ac:dyDescent="0.35">
      <c r="A19" s="12"/>
      <c r="B19" s="30"/>
      <c r="C19" s="30"/>
      <c r="D19" s="13"/>
      <c r="E19" s="14"/>
      <c r="F19" s="15"/>
      <c r="G19" s="71"/>
    </row>
    <row r="20" spans="1:7" x14ac:dyDescent="0.35">
      <c r="A20" s="21" t="s">
        <v>129</v>
      </c>
      <c r="B20" s="32"/>
      <c r="C20" s="32"/>
      <c r="D20" s="22"/>
      <c r="E20" s="18">
        <v>2534.58</v>
      </c>
      <c r="F20" s="19">
        <v>7.6E-3</v>
      </c>
      <c r="G20" s="72"/>
    </row>
    <row r="21" spans="1:7" x14ac:dyDescent="0.35">
      <c r="A21" s="12" t="s">
        <v>132</v>
      </c>
      <c r="B21" s="30"/>
      <c r="C21" s="30"/>
      <c r="D21" s="13"/>
      <c r="E21" s="14">
        <v>0.42410049999999999</v>
      </c>
      <c r="F21" s="15">
        <v>9.9999999999999995E-7</v>
      </c>
      <c r="G21" s="71"/>
    </row>
    <row r="22" spans="1:7" x14ac:dyDescent="0.35">
      <c r="A22" s="12" t="s">
        <v>133</v>
      </c>
      <c r="B22" s="30"/>
      <c r="C22" s="30"/>
      <c r="D22" s="13"/>
      <c r="E22" s="14">
        <v>2627.5658994999999</v>
      </c>
      <c r="F22" s="15">
        <v>7.7990000000000004E-3</v>
      </c>
      <c r="G22" s="71">
        <v>6.1074000000000003E-2</v>
      </c>
    </row>
    <row r="23" spans="1:7" x14ac:dyDescent="0.35">
      <c r="A23" s="25" t="s">
        <v>134</v>
      </c>
      <c r="B23" s="33"/>
      <c r="C23" s="33"/>
      <c r="D23" s="26"/>
      <c r="E23" s="27">
        <v>334593.86</v>
      </c>
      <c r="F23" s="28">
        <v>1</v>
      </c>
      <c r="G23" s="28"/>
    </row>
    <row r="28" spans="1:7" x14ac:dyDescent="0.35">
      <c r="A28" s="1" t="s">
        <v>1981</v>
      </c>
    </row>
    <row r="29" spans="1:7" x14ac:dyDescent="0.35">
      <c r="A29" s="47" t="s">
        <v>1982</v>
      </c>
      <c r="B29" s="34" t="s">
        <v>96</v>
      </c>
    </row>
    <row r="30" spans="1:7" x14ac:dyDescent="0.35">
      <c r="A30" t="s">
        <v>1983</v>
      </c>
    </row>
    <row r="31" spans="1:7" x14ac:dyDescent="0.35">
      <c r="A31" t="s">
        <v>1984</v>
      </c>
      <c r="B31" t="s">
        <v>1985</v>
      </c>
      <c r="C31" t="s">
        <v>1985</v>
      </c>
    </row>
    <row r="32" spans="1:7" x14ac:dyDescent="0.35">
      <c r="B32" s="48">
        <v>44834</v>
      </c>
      <c r="C32" s="48">
        <v>44865</v>
      </c>
    </row>
    <row r="33" spans="1:7" x14ac:dyDescent="0.35">
      <c r="A33" t="s">
        <v>1989</v>
      </c>
      <c r="B33">
        <v>11.8681</v>
      </c>
      <c r="C33">
        <v>11.922499999999999</v>
      </c>
      <c r="E33" s="2"/>
      <c r="G33"/>
    </row>
    <row r="34" spans="1:7" x14ac:dyDescent="0.35">
      <c r="A34" t="s">
        <v>1990</v>
      </c>
      <c r="B34">
        <v>11.8681</v>
      </c>
      <c r="C34">
        <v>11.922499999999999</v>
      </c>
      <c r="E34" s="2"/>
      <c r="G34"/>
    </row>
    <row r="35" spans="1:7" x14ac:dyDescent="0.35">
      <c r="A35" t="s">
        <v>2014</v>
      </c>
      <c r="B35">
        <v>11.8681</v>
      </c>
      <c r="C35">
        <v>11.922499999999999</v>
      </c>
      <c r="E35" s="2"/>
      <c r="G35"/>
    </row>
    <row r="36" spans="1:7" x14ac:dyDescent="0.35">
      <c r="A36" t="s">
        <v>2015</v>
      </c>
      <c r="B36">
        <v>11.8681</v>
      </c>
      <c r="C36">
        <v>11.922499999999999</v>
      </c>
      <c r="E36" s="2"/>
      <c r="G36"/>
    </row>
    <row r="37" spans="1:7" x14ac:dyDescent="0.35">
      <c r="E37" s="2"/>
      <c r="G37"/>
    </row>
    <row r="38" spans="1:7" x14ac:dyDescent="0.35">
      <c r="A38" t="s">
        <v>2000</v>
      </c>
      <c r="B38" s="34" t="s">
        <v>96</v>
      </c>
    </row>
    <row r="39" spans="1:7" x14ac:dyDescent="0.35">
      <c r="A39" t="s">
        <v>2001</v>
      </c>
      <c r="B39" s="34" t="s">
        <v>96</v>
      </c>
    </row>
    <row r="40" spans="1:7" ht="29" x14ac:dyDescent="0.35">
      <c r="A40" s="47" t="s">
        <v>2002</v>
      </c>
      <c r="B40" s="34" t="s">
        <v>96</v>
      </c>
    </row>
    <row r="41" spans="1:7" ht="29" x14ac:dyDescent="0.35">
      <c r="A41" s="47" t="s">
        <v>2003</v>
      </c>
      <c r="B41" s="34" t="s">
        <v>96</v>
      </c>
    </row>
    <row r="42" spans="1:7" x14ac:dyDescent="0.35">
      <c r="A42" t="s">
        <v>2004</v>
      </c>
      <c r="B42" s="49">
        <v>0.41636782638782199</v>
      </c>
    </row>
    <row r="43" spans="1:7" ht="43.5" x14ac:dyDescent="0.35">
      <c r="A43" s="47" t="s">
        <v>2005</v>
      </c>
      <c r="B43" s="34" t="s">
        <v>96</v>
      </c>
    </row>
    <row r="44" spans="1:7" ht="29" x14ac:dyDescent="0.35">
      <c r="A44" s="47" t="s">
        <v>2006</v>
      </c>
      <c r="B44" s="34" t="s">
        <v>96</v>
      </c>
    </row>
    <row r="45" spans="1:7" ht="29" x14ac:dyDescent="0.35">
      <c r="A45" s="47" t="s">
        <v>2009</v>
      </c>
      <c r="B45" s="34" t="s">
        <v>96</v>
      </c>
    </row>
    <row r="46" spans="1:7" ht="29" x14ac:dyDescent="0.35">
      <c r="A46" s="47" t="s">
        <v>2135</v>
      </c>
      <c r="B46" s="34" t="s">
        <v>96</v>
      </c>
    </row>
    <row r="47" spans="1:7" ht="29" x14ac:dyDescent="0.35">
      <c r="A47" s="47" t="s">
        <v>2136</v>
      </c>
      <c r="B47" s="34" t="s">
        <v>96</v>
      </c>
    </row>
    <row r="50" spans="1:4" ht="29" x14ac:dyDescent="0.35">
      <c r="A50" s="207" t="s">
        <v>2154</v>
      </c>
      <c r="B50" s="208" t="s">
        <v>2155</v>
      </c>
      <c r="C50" s="208" t="s">
        <v>2156</v>
      </c>
      <c r="D50" s="212" t="s">
        <v>2157</v>
      </c>
    </row>
    <row r="51" spans="1:4" ht="73" customHeight="1" x14ac:dyDescent="0.35">
      <c r="A51" s="211" t="s">
        <v>2178</v>
      </c>
      <c r="B51" s="209"/>
      <c r="C51" s="210" t="s">
        <v>2162</v>
      </c>
      <c r="D51" s="20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D309-3643-4D6F-8ED3-B7797A08A54B}">
  <dimension ref="A1:H50"/>
  <sheetViews>
    <sheetView showGridLines="0" workbookViewId="0">
      <pane ySplit="4" topLeftCell="A50" activePane="bottomLeft" state="frozen"/>
      <selection activeCell="A2" sqref="A2:XFD2"/>
      <selection pane="bottomLeft" activeCell="B50" sqref="B50:D50"/>
    </sheetView>
  </sheetViews>
  <sheetFormatPr defaultRowHeight="14.5" x14ac:dyDescent="0.35"/>
  <cols>
    <col min="1" max="1" width="50.453125" customWidth="1"/>
    <col min="2" max="2" width="25.54296875" customWidth="1"/>
    <col min="3" max="3" width="26.6328125" customWidth="1"/>
    <col min="4" max="4" width="22.26953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29</v>
      </c>
      <c r="B1" s="151"/>
      <c r="C1" s="151"/>
      <c r="D1" s="151"/>
      <c r="E1" s="151"/>
      <c r="F1" s="151"/>
      <c r="G1" s="151"/>
      <c r="H1" s="50" t="str">
        <f>HYPERLINK("[EDEL_Portfolio Monthly Notes 31-Oct-2022.xlsx]Index!A1","Index")</f>
        <v>Index</v>
      </c>
    </row>
    <row r="2" spans="1:8" ht="31" customHeight="1" x14ac:dyDescent="0.35">
      <c r="A2" s="151" t="s">
        <v>30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605</v>
      </c>
      <c r="B10" s="30"/>
      <c r="C10" s="30"/>
      <c r="D10" s="13"/>
      <c r="E10" s="14"/>
      <c r="F10" s="15"/>
      <c r="G10" s="15"/>
    </row>
    <row r="11" spans="1:8" x14ac:dyDescent="0.35">
      <c r="A11" s="12" t="s">
        <v>608</v>
      </c>
      <c r="B11" s="30" t="s">
        <v>609</v>
      </c>
      <c r="C11" s="30"/>
      <c r="D11" s="13">
        <v>36438149</v>
      </c>
      <c r="E11" s="14">
        <v>394173.32</v>
      </c>
      <c r="F11" s="15">
        <v>0.99019999999999997</v>
      </c>
      <c r="G11" s="15"/>
    </row>
    <row r="12" spans="1:8" x14ac:dyDescent="0.35">
      <c r="A12" s="16" t="s">
        <v>102</v>
      </c>
      <c r="B12" s="31"/>
      <c r="C12" s="31"/>
      <c r="D12" s="17"/>
      <c r="E12" s="18">
        <v>394173.32</v>
      </c>
      <c r="F12" s="19">
        <v>0.99019999999999997</v>
      </c>
      <c r="G12" s="20"/>
    </row>
    <row r="13" spans="1:8" x14ac:dyDescent="0.35">
      <c r="A13" s="12"/>
      <c r="B13" s="30"/>
      <c r="C13" s="30"/>
      <c r="D13" s="13"/>
      <c r="E13" s="14"/>
      <c r="F13" s="15"/>
      <c r="G13" s="15"/>
    </row>
    <row r="14" spans="1:8" x14ac:dyDescent="0.35">
      <c r="A14" s="21" t="s">
        <v>129</v>
      </c>
      <c r="B14" s="32"/>
      <c r="C14" s="32"/>
      <c r="D14" s="22"/>
      <c r="E14" s="18">
        <v>394173.32</v>
      </c>
      <c r="F14" s="19">
        <v>0.99019999999999997</v>
      </c>
      <c r="G14" s="20"/>
    </row>
    <row r="15" spans="1:8" x14ac:dyDescent="0.35">
      <c r="A15" s="12"/>
      <c r="B15" s="30"/>
      <c r="C15" s="30"/>
      <c r="D15" s="13"/>
      <c r="E15" s="14"/>
      <c r="F15" s="15"/>
      <c r="G15" s="15"/>
    </row>
    <row r="16" spans="1:8" x14ac:dyDescent="0.35">
      <c r="A16" s="16" t="s">
        <v>130</v>
      </c>
      <c r="B16" s="30"/>
      <c r="C16" s="30"/>
      <c r="D16" s="13"/>
      <c r="E16" s="14"/>
      <c r="F16" s="15"/>
      <c r="G16" s="15"/>
    </row>
    <row r="17" spans="1:7" x14ac:dyDescent="0.35">
      <c r="A17" s="12" t="s">
        <v>131</v>
      </c>
      <c r="B17" s="30"/>
      <c r="C17" s="30"/>
      <c r="D17" s="13"/>
      <c r="E17" s="14">
        <v>393.93</v>
      </c>
      <c r="F17" s="15">
        <v>1E-3</v>
      </c>
      <c r="G17" s="73">
        <v>6.1074000000000003E-2</v>
      </c>
    </row>
    <row r="18" spans="1:7" x14ac:dyDescent="0.35">
      <c r="A18" s="16" t="s">
        <v>102</v>
      </c>
      <c r="B18" s="31"/>
      <c r="C18" s="31"/>
      <c r="D18" s="17"/>
      <c r="E18" s="18">
        <v>393.93</v>
      </c>
      <c r="F18" s="19">
        <v>1E-3</v>
      </c>
      <c r="G18" s="74"/>
    </row>
    <row r="19" spans="1:7" x14ac:dyDescent="0.35">
      <c r="A19" s="12"/>
      <c r="B19" s="30"/>
      <c r="C19" s="30"/>
      <c r="D19" s="13"/>
      <c r="E19" s="14"/>
      <c r="F19" s="15"/>
      <c r="G19" s="73"/>
    </row>
    <row r="20" spans="1:7" x14ac:dyDescent="0.35">
      <c r="A20" s="21" t="s">
        <v>129</v>
      </c>
      <c r="B20" s="32"/>
      <c r="C20" s="32"/>
      <c r="D20" s="22"/>
      <c r="E20" s="18">
        <v>393.93</v>
      </c>
      <c r="F20" s="19">
        <v>1E-3</v>
      </c>
      <c r="G20" s="74"/>
    </row>
    <row r="21" spans="1:7" x14ac:dyDescent="0.35">
      <c r="A21" s="12" t="s">
        <v>132</v>
      </c>
      <c r="B21" s="30"/>
      <c r="C21" s="30"/>
      <c r="D21" s="13"/>
      <c r="E21" s="14">
        <v>6.5915399999999999E-2</v>
      </c>
      <c r="F21" s="15">
        <v>0</v>
      </c>
      <c r="G21" s="73"/>
    </row>
    <row r="22" spans="1:7" x14ac:dyDescent="0.35">
      <c r="A22" s="12" t="s">
        <v>133</v>
      </c>
      <c r="B22" s="30"/>
      <c r="C22" s="30"/>
      <c r="D22" s="13"/>
      <c r="E22" s="14">
        <v>3520.0640846000001</v>
      </c>
      <c r="F22" s="15">
        <v>8.8000000000000005E-3</v>
      </c>
      <c r="G22" s="73">
        <v>6.1074000000000003E-2</v>
      </c>
    </row>
    <row r="23" spans="1:7" x14ac:dyDescent="0.35">
      <c r="A23" s="25" t="s">
        <v>134</v>
      </c>
      <c r="B23" s="33"/>
      <c r="C23" s="33"/>
      <c r="D23" s="26"/>
      <c r="E23" s="27">
        <v>398087.38</v>
      </c>
      <c r="F23" s="28">
        <v>1</v>
      </c>
      <c r="G23" s="28"/>
    </row>
    <row r="28" spans="1:7" x14ac:dyDescent="0.35">
      <c r="A28" s="1" t="s">
        <v>1981</v>
      </c>
    </row>
    <row r="29" spans="1:7" x14ac:dyDescent="0.35">
      <c r="A29" s="47" t="s">
        <v>1982</v>
      </c>
      <c r="B29" s="34" t="s">
        <v>96</v>
      </c>
    </row>
    <row r="30" spans="1:7" x14ac:dyDescent="0.35">
      <c r="A30" t="s">
        <v>1983</v>
      </c>
    </row>
    <row r="31" spans="1:7" x14ac:dyDescent="0.35">
      <c r="A31" t="s">
        <v>1984</v>
      </c>
      <c r="B31" t="s">
        <v>1985</v>
      </c>
      <c r="C31" t="s">
        <v>1985</v>
      </c>
    </row>
    <row r="32" spans="1:7" x14ac:dyDescent="0.35">
      <c r="B32" s="48">
        <v>44834</v>
      </c>
      <c r="C32" s="48">
        <v>44865</v>
      </c>
    </row>
    <row r="33" spans="1:7" x14ac:dyDescent="0.35">
      <c r="A33" t="s">
        <v>1989</v>
      </c>
      <c r="B33">
        <v>10.7499</v>
      </c>
      <c r="C33">
        <v>10.795199999999999</v>
      </c>
      <c r="E33" s="2"/>
      <c r="G33"/>
    </row>
    <row r="34" spans="1:7" x14ac:dyDescent="0.35">
      <c r="A34" t="s">
        <v>1990</v>
      </c>
      <c r="B34">
        <v>10.7499</v>
      </c>
      <c r="C34">
        <v>10.795199999999999</v>
      </c>
      <c r="E34" s="2"/>
      <c r="G34"/>
    </row>
    <row r="35" spans="1:7" x14ac:dyDescent="0.35">
      <c r="A35" t="s">
        <v>2014</v>
      </c>
      <c r="B35">
        <v>10.7499</v>
      </c>
      <c r="C35">
        <v>10.795199999999999</v>
      </c>
      <c r="E35" s="2"/>
      <c r="G35"/>
    </row>
    <row r="36" spans="1:7" x14ac:dyDescent="0.35">
      <c r="A36" t="s">
        <v>2015</v>
      </c>
      <c r="B36">
        <v>10.7499</v>
      </c>
      <c r="C36">
        <v>10.795199999999999</v>
      </c>
      <c r="E36" s="2"/>
      <c r="G36"/>
    </row>
    <row r="37" spans="1:7" x14ac:dyDescent="0.35">
      <c r="E37" s="2"/>
      <c r="G37"/>
    </row>
    <row r="38" spans="1:7" x14ac:dyDescent="0.35">
      <c r="A38" t="s">
        <v>2000</v>
      </c>
      <c r="B38" s="34" t="s">
        <v>96</v>
      </c>
    </row>
    <row r="39" spans="1:7" x14ac:dyDescent="0.35">
      <c r="A39" t="s">
        <v>2001</v>
      </c>
      <c r="B39" s="34" t="s">
        <v>96</v>
      </c>
    </row>
    <row r="40" spans="1:7" ht="29" x14ac:dyDescent="0.35">
      <c r="A40" s="47" t="s">
        <v>2002</v>
      </c>
      <c r="B40" s="34" t="s">
        <v>96</v>
      </c>
    </row>
    <row r="41" spans="1:7" ht="29" x14ac:dyDescent="0.35">
      <c r="A41" s="47" t="s">
        <v>2003</v>
      </c>
      <c r="B41" s="34" t="s">
        <v>96</v>
      </c>
    </row>
    <row r="42" spans="1:7" x14ac:dyDescent="0.35">
      <c r="A42" t="s">
        <v>2004</v>
      </c>
      <c r="B42" s="49">
        <v>2.2910529291753701</v>
      </c>
    </row>
    <row r="43" spans="1:7" ht="43.5" x14ac:dyDescent="0.35">
      <c r="A43" s="47" t="s">
        <v>2005</v>
      </c>
      <c r="B43" s="34" t="s">
        <v>96</v>
      </c>
    </row>
    <row r="44" spans="1:7" ht="29" x14ac:dyDescent="0.35">
      <c r="A44" s="47" t="s">
        <v>2006</v>
      </c>
      <c r="B44" s="34" t="s">
        <v>96</v>
      </c>
    </row>
    <row r="45" spans="1:7" ht="29" x14ac:dyDescent="0.35">
      <c r="A45" s="47" t="s">
        <v>2009</v>
      </c>
      <c r="B45" s="34" t="s">
        <v>96</v>
      </c>
    </row>
    <row r="46" spans="1:7" ht="29" x14ac:dyDescent="0.35">
      <c r="A46" s="47" t="s">
        <v>2135</v>
      </c>
      <c r="B46" s="34" t="s">
        <v>96</v>
      </c>
    </row>
    <row r="47" spans="1:7" ht="29" x14ac:dyDescent="0.35">
      <c r="A47" s="47" t="s">
        <v>2136</v>
      </c>
      <c r="B47" s="34" t="s">
        <v>96</v>
      </c>
    </row>
    <row r="49" spans="1:4" ht="29" x14ac:dyDescent="0.35">
      <c r="A49" s="213" t="s">
        <v>2154</v>
      </c>
      <c r="B49" s="214" t="s">
        <v>2155</v>
      </c>
      <c r="C49" s="214" t="s">
        <v>2156</v>
      </c>
      <c r="D49" s="219" t="s">
        <v>2157</v>
      </c>
    </row>
    <row r="50" spans="1:4" ht="74" customHeight="1" x14ac:dyDescent="0.35">
      <c r="A50" s="218" t="s">
        <v>2179</v>
      </c>
      <c r="B50" s="215"/>
      <c r="C50" s="216" t="s">
        <v>2180</v>
      </c>
      <c r="D50" s="217"/>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8529-0253-452D-97FD-B57AFB298404}">
  <dimension ref="A1:H51"/>
  <sheetViews>
    <sheetView showGridLines="0" workbookViewId="0">
      <pane ySplit="4" topLeftCell="A49" activePane="bottomLeft" state="frozen"/>
      <selection activeCell="A2" sqref="A2:XFD2"/>
      <selection pane="bottomLeft" activeCell="B51" sqref="B51:D51"/>
    </sheetView>
  </sheetViews>
  <sheetFormatPr defaultRowHeight="14.5" x14ac:dyDescent="0.35"/>
  <cols>
    <col min="1" max="1" width="50.453125" customWidth="1"/>
    <col min="2" max="2" width="22" customWidth="1"/>
    <col min="3" max="3" width="26.6328125" customWidth="1"/>
    <col min="4" max="4" width="22.8164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31</v>
      </c>
      <c r="B1" s="151"/>
      <c r="C1" s="151"/>
      <c r="D1" s="151"/>
      <c r="E1" s="151"/>
      <c r="F1" s="151"/>
      <c r="G1" s="151"/>
      <c r="H1" s="50" t="str">
        <f>HYPERLINK("[EDEL_Portfolio Monthly Notes 31-Oct-2022.xlsx]Index!A1","Index")</f>
        <v>Index</v>
      </c>
    </row>
    <row r="2" spans="1:8" ht="31" customHeight="1" x14ac:dyDescent="0.35">
      <c r="A2" s="151" t="s">
        <v>32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605</v>
      </c>
      <c r="B10" s="30"/>
      <c r="C10" s="30"/>
      <c r="D10" s="13"/>
      <c r="E10" s="14"/>
      <c r="F10" s="15"/>
      <c r="G10" s="15"/>
    </row>
    <row r="11" spans="1:8" x14ac:dyDescent="0.35">
      <c r="A11" s="12" t="s">
        <v>610</v>
      </c>
      <c r="B11" s="30" t="s">
        <v>611</v>
      </c>
      <c r="C11" s="30"/>
      <c r="D11" s="13">
        <v>38159325.002099998</v>
      </c>
      <c r="E11" s="14">
        <v>461517.96</v>
      </c>
      <c r="F11" s="15">
        <v>0.996</v>
      </c>
      <c r="G11" s="15"/>
    </row>
    <row r="12" spans="1:8" x14ac:dyDescent="0.35">
      <c r="A12" s="16" t="s">
        <v>102</v>
      </c>
      <c r="B12" s="31"/>
      <c r="C12" s="31"/>
      <c r="D12" s="17"/>
      <c r="E12" s="18">
        <v>461517.96</v>
      </c>
      <c r="F12" s="19">
        <v>0.996</v>
      </c>
      <c r="G12" s="20"/>
    </row>
    <row r="13" spans="1:8" x14ac:dyDescent="0.35">
      <c r="A13" s="12"/>
      <c r="B13" s="30"/>
      <c r="C13" s="30"/>
      <c r="D13" s="13"/>
      <c r="E13" s="14"/>
      <c r="F13" s="15"/>
      <c r="G13" s="15"/>
    </row>
    <row r="14" spans="1:8" x14ac:dyDescent="0.35">
      <c r="A14" s="21" t="s">
        <v>129</v>
      </c>
      <c r="B14" s="32"/>
      <c r="C14" s="32"/>
      <c r="D14" s="22"/>
      <c r="E14" s="18">
        <v>461517.96</v>
      </c>
      <c r="F14" s="19">
        <v>0.996</v>
      </c>
      <c r="G14" s="20"/>
    </row>
    <row r="15" spans="1:8" x14ac:dyDescent="0.35">
      <c r="A15" s="12"/>
      <c r="B15" s="30"/>
      <c r="C15" s="30"/>
      <c r="D15" s="13"/>
      <c r="E15" s="14"/>
      <c r="F15" s="15"/>
      <c r="G15" s="15"/>
    </row>
    <row r="16" spans="1:8" x14ac:dyDescent="0.35">
      <c r="A16" s="16" t="s">
        <v>130</v>
      </c>
      <c r="B16" s="30"/>
      <c r="C16" s="30"/>
      <c r="D16" s="13"/>
      <c r="E16" s="14"/>
      <c r="F16" s="15"/>
      <c r="G16" s="15"/>
    </row>
    <row r="17" spans="1:7" x14ac:dyDescent="0.35">
      <c r="A17" s="12" t="s">
        <v>131</v>
      </c>
      <c r="B17" s="30"/>
      <c r="C17" s="30"/>
      <c r="D17" s="13"/>
      <c r="E17" s="14">
        <v>2394.6</v>
      </c>
      <c r="F17" s="15">
        <v>5.1999999999999998E-3</v>
      </c>
      <c r="G17" s="75">
        <v>6.1074000000000003E-2</v>
      </c>
    </row>
    <row r="18" spans="1:7" x14ac:dyDescent="0.35">
      <c r="A18" s="16" t="s">
        <v>102</v>
      </c>
      <c r="B18" s="31"/>
      <c r="C18" s="31"/>
      <c r="D18" s="17"/>
      <c r="E18" s="18">
        <v>2394.6</v>
      </c>
      <c r="F18" s="19">
        <v>5.1999999999999998E-3</v>
      </c>
      <c r="G18" s="76"/>
    </row>
    <row r="19" spans="1:7" x14ac:dyDescent="0.35">
      <c r="A19" s="12"/>
      <c r="B19" s="30"/>
      <c r="C19" s="30"/>
      <c r="D19" s="13"/>
      <c r="E19" s="14"/>
      <c r="F19" s="15"/>
      <c r="G19" s="75"/>
    </row>
    <row r="20" spans="1:7" x14ac:dyDescent="0.35">
      <c r="A20" s="21" t="s">
        <v>129</v>
      </c>
      <c r="B20" s="32"/>
      <c r="C20" s="32"/>
      <c r="D20" s="22"/>
      <c r="E20" s="18">
        <v>2394.6</v>
      </c>
      <c r="F20" s="19">
        <v>5.1999999999999998E-3</v>
      </c>
      <c r="G20" s="76"/>
    </row>
    <row r="21" spans="1:7" x14ac:dyDescent="0.35">
      <c r="A21" s="12" t="s">
        <v>132</v>
      </c>
      <c r="B21" s="30"/>
      <c r="C21" s="30"/>
      <c r="D21" s="13"/>
      <c r="E21" s="14">
        <v>0.4006788</v>
      </c>
      <c r="F21" s="15">
        <v>0</v>
      </c>
      <c r="G21" s="75"/>
    </row>
    <row r="22" spans="1:7" x14ac:dyDescent="0.35">
      <c r="A22" s="12" t="s">
        <v>133</v>
      </c>
      <c r="B22" s="30"/>
      <c r="C22" s="30"/>
      <c r="D22" s="13"/>
      <c r="E22" s="23">
        <v>-528.08067879999999</v>
      </c>
      <c r="F22" s="24">
        <v>-1.1999999999999999E-3</v>
      </c>
      <c r="G22" s="75">
        <v>6.1074000000000003E-2</v>
      </c>
    </row>
    <row r="23" spans="1:7" x14ac:dyDescent="0.35">
      <c r="A23" s="25" t="s">
        <v>134</v>
      </c>
      <c r="B23" s="33"/>
      <c r="C23" s="33"/>
      <c r="D23" s="26"/>
      <c r="E23" s="27">
        <v>463384.88</v>
      </c>
      <c r="F23" s="28">
        <v>1</v>
      </c>
      <c r="G23" s="28"/>
    </row>
    <row r="28" spans="1:7" x14ac:dyDescent="0.35">
      <c r="A28" s="1" t="s">
        <v>1981</v>
      </c>
    </row>
    <row r="29" spans="1:7" x14ac:dyDescent="0.35">
      <c r="A29" s="47" t="s">
        <v>1982</v>
      </c>
      <c r="B29" s="34" t="s">
        <v>96</v>
      </c>
    </row>
    <row r="30" spans="1:7" x14ac:dyDescent="0.35">
      <c r="A30" t="s">
        <v>1983</v>
      </c>
    </row>
    <row r="31" spans="1:7" x14ac:dyDescent="0.35">
      <c r="A31" t="s">
        <v>1984</v>
      </c>
      <c r="B31" t="s">
        <v>1985</v>
      </c>
      <c r="C31" t="s">
        <v>1985</v>
      </c>
    </row>
    <row r="32" spans="1:7" x14ac:dyDescent="0.35">
      <c r="B32" s="48">
        <v>44834</v>
      </c>
      <c r="C32" s="48">
        <v>44865</v>
      </c>
    </row>
    <row r="33" spans="1:7" x14ac:dyDescent="0.35">
      <c r="A33" t="s">
        <v>1989</v>
      </c>
      <c r="B33">
        <v>12.0473</v>
      </c>
      <c r="C33">
        <v>12.071199999999999</v>
      </c>
      <c r="E33" s="2"/>
      <c r="G33"/>
    </row>
    <row r="34" spans="1:7" x14ac:dyDescent="0.35">
      <c r="A34" t="s">
        <v>1990</v>
      </c>
      <c r="B34">
        <v>12.0473</v>
      </c>
      <c r="C34">
        <v>12.071199999999999</v>
      </c>
      <c r="E34" s="2"/>
      <c r="G34"/>
    </row>
    <row r="35" spans="1:7" x14ac:dyDescent="0.35">
      <c r="A35" t="s">
        <v>2014</v>
      </c>
      <c r="B35">
        <v>12.0473</v>
      </c>
      <c r="C35">
        <v>12.071199999999999</v>
      </c>
      <c r="E35" s="2"/>
      <c r="G35"/>
    </row>
    <row r="36" spans="1:7" x14ac:dyDescent="0.35">
      <c r="A36" t="s">
        <v>2015</v>
      </c>
      <c r="B36">
        <v>12.0473</v>
      </c>
      <c r="C36">
        <v>12.071199999999999</v>
      </c>
      <c r="E36" s="2"/>
      <c r="G36"/>
    </row>
    <row r="37" spans="1:7" x14ac:dyDescent="0.35">
      <c r="E37" s="2"/>
      <c r="G37"/>
    </row>
    <row r="38" spans="1:7" x14ac:dyDescent="0.35">
      <c r="A38" t="s">
        <v>2000</v>
      </c>
      <c r="B38" s="34" t="s">
        <v>96</v>
      </c>
    </row>
    <row r="39" spans="1:7" x14ac:dyDescent="0.35">
      <c r="A39" t="s">
        <v>2001</v>
      </c>
      <c r="B39" s="34" t="s">
        <v>96</v>
      </c>
    </row>
    <row r="40" spans="1:7" ht="29" x14ac:dyDescent="0.35">
      <c r="A40" s="47" t="s">
        <v>2002</v>
      </c>
      <c r="B40" s="34" t="s">
        <v>96</v>
      </c>
    </row>
    <row r="41" spans="1:7" ht="29" x14ac:dyDescent="0.35">
      <c r="A41" s="47" t="s">
        <v>2003</v>
      </c>
      <c r="B41" s="34" t="s">
        <v>96</v>
      </c>
    </row>
    <row r="42" spans="1:7" x14ac:dyDescent="0.35">
      <c r="A42" t="s">
        <v>2004</v>
      </c>
      <c r="B42" s="49">
        <v>7.0704068603494203</v>
      </c>
    </row>
    <row r="43" spans="1:7" ht="43.5" x14ac:dyDescent="0.35">
      <c r="A43" s="47" t="s">
        <v>2005</v>
      </c>
      <c r="B43" s="34" t="s">
        <v>96</v>
      </c>
    </row>
    <row r="44" spans="1:7" ht="29" x14ac:dyDescent="0.35">
      <c r="A44" s="47" t="s">
        <v>2006</v>
      </c>
      <c r="B44" s="34" t="s">
        <v>96</v>
      </c>
    </row>
    <row r="45" spans="1:7" ht="29" x14ac:dyDescent="0.35">
      <c r="A45" s="47" t="s">
        <v>2009</v>
      </c>
      <c r="B45" s="34" t="s">
        <v>96</v>
      </c>
    </row>
    <row r="46" spans="1:7" ht="29" x14ac:dyDescent="0.35">
      <c r="A46" s="47" t="s">
        <v>2135</v>
      </c>
      <c r="B46" s="34" t="s">
        <v>96</v>
      </c>
    </row>
    <row r="47" spans="1:7" ht="29" x14ac:dyDescent="0.35">
      <c r="A47" s="47" t="s">
        <v>2136</v>
      </c>
      <c r="B47" s="34" t="s">
        <v>96</v>
      </c>
    </row>
    <row r="50" spans="1:4" ht="29" x14ac:dyDescent="0.35">
      <c r="A50" s="220" t="s">
        <v>2154</v>
      </c>
      <c r="B50" s="221" t="s">
        <v>2155</v>
      </c>
      <c r="C50" s="221" t="s">
        <v>2156</v>
      </c>
      <c r="D50" s="226" t="s">
        <v>2157</v>
      </c>
    </row>
    <row r="51" spans="1:4" ht="73" customHeight="1" x14ac:dyDescent="0.35">
      <c r="A51" s="225" t="s">
        <v>2181</v>
      </c>
      <c r="B51" s="222"/>
      <c r="C51" s="223" t="s">
        <v>2166</v>
      </c>
      <c r="D51" s="224"/>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FABFC-5A0E-4A25-B66D-68215B32DEB8}">
  <dimension ref="A1:H50"/>
  <sheetViews>
    <sheetView showGridLines="0" zoomScale="96" zoomScaleNormal="96" workbookViewId="0">
      <pane ySplit="4" topLeftCell="A50" activePane="bottomLeft" state="frozen"/>
      <selection activeCell="A2" sqref="A2:XFD2"/>
      <selection pane="bottomLeft" activeCell="B50" sqref="B50:D50"/>
    </sheetView>
  </sheetViews>
  <sheetFormatPr defaultRowHeight="14.5" x14ac:dyDescent="0.35"/>
  <cols>
    <col min="1" max="1" width="50.453125" customWidth="1"/>
    <col min="2" max="2" width="22.08984375" customWidth="1"/>
    <col min="3" max="3" width="26.6328125" customWidth="1"/>
    <col min="4" max="4" width="22.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33</v>
      </c>
      <c r="B1" s="151"/>
      <c r="C1" s="151"/>
      <c r="D1" s="151"/>
      <c r="E1" s="151"/>
      <c r="F1" s="151"/>
      <c r="G1" s="151"/>
      <c r="H1" s="50" t="str">
        <f>HYPERLINK("[EDEL_Portfolio Monthly Notes 31-Oct-2022.xlsx]Index!A1","Index")</f>
        <v>Index</v>
      </c>
    </row>
    <row r="2" spans="1:8" ht="31" customHeight="1" x14ac:dyDescent="0.35">
      <c r="A2" s="151" t="s">
        <v>34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605</v>
      </c>
      <c r="B10" s="30"/>
      <c r="C10" s="30"/>
      <c r="D10" s="13"/>
      <c r="E10" s="14"/>
      <c r="F10" s="15"/>
      <c r="G10" s="15"/>
    </row>
    <row r="11" spans="1:8" x14ac:dyDescent="0.35">
      <c r="A11" s="12" t="s">
        <v>612</v>
      </c>
      <c r="B11" s="30" t="s">
        <v>613</v>
      </c>
      <c r="C11" s="30"/>
      <c r="D11" s="13">
        <v>30201692</v>
      </c>
      <c r="E11" s="14">
        <v>326244.71999999997</v>
      </c>
      <c r="F11" s="15">
        <v>0.99680000000000002</v>
      </c>
      <c r="G11" s="15"/>
    </row>
    <row r="12" spans="1:8" x14ac:dyDescent="0.35">
      <c r="A12" s="16" t="s">
        <v>102</v>
      </c>
      <c r="B12" s="31"/>
      <c r="C12" s="31"/>
      <c r="D12" s="17"/>
      <c r="E12" s="18">
        <v>326244.71999999997</v>
      </c>
      <c r="F12" s="19">
        <v>0.99680000000000002</v>
      </c>
      <c r="G12" s="20"/>
    </row>
    <row r="13" spans="1:8" x14ac:dyDescent="0.35">
      <c r="A13" s="12"/>
      <c r="B13" s="30"/>
      <c r="C13" s="30"/>
      <c r="D13" s="13"/>
      <c r="E13" s="14"/>
      <c r="F13" s="15"/>
      <c r="G13" s="15"/>
    </row>
    <row r="14" spans="1:8" x14ac:dyDescent="0.35">
      <c r="A14" s="21" t="s">
        <v>129</v>
      </c>
      <c r="B14" s="32"/>
      <c r="C14" s="32"/>
      <c r="D14" s="22"/>
      <c r="E14" s="18">
        <v>326244.71999999997</v>
      </c>
      <c r="F14" s="19">
        <v>0.99680000000000002</v>
      </c>
      <c r="G14" s="20"/>
    </row>
    <row r="15" spans="1:8" x14ac:dyDescent="0.35">
      <c r="A15" s="12"/>
      <c r="B15" s="30"/>
      <c r="C15" s="30"/>
      <c r="D15" s="13"/>
      <c r="E15" s="14"/>
      <c r="F15" s="15"/>
      <c r="G15" s="15"/>
    </row>
    <row r="16" spans="1:8" x14ac:dyDescent="0.35">
      <c r="A16" s="16" t="s">
        <v>130</v>
      </c>
      <c r="B16" s="30"/>
      <c r="C16" s="30"/>
      <c r="D16" s="13"/>
      <c r="E16" s="14"/>
      <c r="F16" s="15"/>
      <c r="G16" s="15"/>
    </row>
    <row r="17" spans="1:7" x14ac:dyDescent="0.35">
      <c r="A17" s="12" t="s">
        <v>131</v>
      </c>
      <c r="B17" s="30"/>
      <c r="C17" s="30"/>
      <c r="D17" s="13"/>
      <c r="E17" s="14">
        <v>1497.75</v>
      </c>
      <c r="F17" s="15">
        <v>4.5999999999999999E-3</v>
      </c>
      <c r="G17" s="77">
        <v>6.1074000000000003E-2</v>
      </c>
    </row>
    <row r="18" spans="1:7" x14ac:dyDescent="0.35">
      <c r="A18" s="16" t="s">
        <v>102</v>
      </c>
      <c r="B18" s="31"/>
      <c r="C18" s="31"/>
      <c r="D18" s="17"/>
      <c r="E18" s="18">
        <v>1497.75</v>
      </c>
      <c r="F18" s="19">
        <v>4.5999999999999999E-3</v>
      </c>
      <c r="G18" s="78"/>
    </row>
    <row r="19" spans="1:7" x14ac:dyDescent="0.35">
      <c r="A19" s="12"/>
      <c r="B19" s="30"/>
      <c r="C19" s="30"/>
      <c r="D19" s="13"/>
      <c r="E19" s="14"/>
      <c r="F19" s="15"/>
      <c r="G19" s="77"/>
    </row>
    <row r="20" spans="1:7" x14ac:dyDescent="0.35">
      <c r="A20" s="21" t="s">
        <v>129</v>
      </c>
      <c r="B20" s="32"/>
      <c r="C20" s="32"/>
      <c r="D20" s="22"/>
      <c r="E20" s="18">
        <v>1497.75</v>
      </c>
      <c r="F20" s="19">
        <v>4.5999999999999999E-3</v>
      </c>
      <c r="G20" s="78"/>
    </row>
    <row r="21" spans="1:7" x14ac:dyDescent="0.35">
      <c r="A21" s="12" t="s">
        <v>132</v>
      </c>
      <c r="B21" s="30"/>
      <c r="C21" s="30"/>
      <c r="D21" s="13"/>
      <c r="E21" s="14">
        <v>0.25061250000000002</v>
      </c>
      <c r="F21" s="15">
        <v>0</v>
      </c>
      <c r="G21" s="77"/>
    </row>
    <row r="22" spans="1:7" x14ac:dyDescent="0.35">
      <c r="A22" s="12" t="s">
        <v>133</v>
      </c>
      <c r="B22" s="30"/>
      <c r="C22" s="30"/>
      <c r="D22" s="13"/>
      <c r="E22" s="23">
        <v>-446.37061249999999</v>
      </c>
      <c r="F22" s="24">
        <v>-1.4E-3</v>
      </c>
      <c r="G22" s="77">
        <v>6.1074000000000003E-2</v>
      </c>
    </row>
    <row r="23" spans="1:7" x14ac:dyDescent="0.35">
      <c r="A23" s="25" t="s">
        <v>134</v>
      </c>
      <c r="B23" s="33"/>
      <c r="C23" s="33"/>
      <c r="D23" s="26"/>
      <c r="E23" s="27">
        <v>327296.34999999998</v>
      </c>
      <c r="F23" s="28">
        <v>1</v>
      </c>
      <c r="G23" s="28"/>
    </row>
    <row r="28" spans="1:7" x14ac:dyDescent="0.35">
      <c r="A28" s="1" t="s">
        <v>1981</v>
      </c>
    </row>
    <row r="29" spans="1:7" x14ac:dyDescent="0.35">
      <c r="A29" s="47" t="s">
        <v>1982</v>
      </c>
      <c r="B29" s="34" t="s">
        <v>96</v>
      </c>
    </row>
    <row r="30" spans="1:7" x14ac:dyDescent="0.35">
      <c r="A30" t="s">
        <v>1983</v>
      </c>
    </row>
    <row r="31" spans="1:7" x14ac:dyDescent="0.35">
      <c r="A31" t="s">
        <v>1984</v>
      </c>
      <c r="B31" t="s">
        <v>1985</v>
      </c>
      <c r="C31" t="s">
        <v>1985</v>
      </c>
    </row>
    <row r="32" spans="1:7" x14ac:dyDescent="0.35">
      <c r="B32" s="48">
        <v>44834</v>
      </c>
      <c r="C32" s="48">
        <v>44865</v>
      </c>
    </row>
    <row r="33" spans="1:7" x14ac:dyDescent="0.35">
      <c r="A33" t="s">
        <v>1989</v>
      </c>
      <c r="B33">
        <v>10.735300000000001</v>
      </c>
      <c r="C33">
        <v>10.785299999999999</v>
      </c>
      <c r="E33" s="2"/>
      <c r="G33"/>
    </row>
    <row r="34" spans="1:7" x14ac:dyDescent="0.35">
      <c r="A34" t="s">
        <v>1990</v>
      </c>
      <c r="B34">
        <v>10.735300000000001</v>
      </c>
      <c r="C34">
        <v>10.785299999999999</v>
      </c>
      <c r="E34" s="2"/>
      <c r="G34"/>
    </row>
    <row r="35" spans="1:7" x14ac:dyDescent="0.35">
      <c r="A35" t="s">
        <v>2014</v>
      </c>
      <c r="B35">
        <v>10.735300000000001</v>
      </c>
      <c r="C35">
        <v>10.785299999999999</v>
      </c>
      <c r="E35" s="2"/>
      <c r="G35"/>
    </row>
    <row r="36" spans="1:7" x14ac:dyDescent="0.35">
      <c r="A36" t="s">
        <v>2015</v>
      </c>
      <c r="B36">
        <v>10.735300000000001</v>
      </c>
      <c r="C36">
        <v>10.785299999999999</v>
      </c>
      <c r="E36" s="2"/>
      <c r="G36"/>
    </row>
    <row r="37" spans="1:7" x14ac:dyDescent="0.35">
      <c r="E37" s="2"/>
      <c r="G37"/>
    </row>
    <row r="38" spans="1:7" x14ac:dyDescent="0.35">
      <c r="A38" t="s">
        <v>2000</v>
      </c>
      <c r="B38" s="34" t="s">
        <v>96</v>
      </c>
    </row>
    <row r="39" spans="1:7" x14ac:dyDescent="0.35">
      <c r="A39" t="s">
        <v>2001</v>
      </c>
      <c r="B39" s="34" t="s">
        <v>96</v>
      </c>
    </row>
    <row r="40" spans="1:7" ht="29" x14ac:dyDescent="0.35">
      <c r="A40" s="47" t="s">
        <v>2002</v>
      </c>
      <c r="B40" s="34" t="s">
        <v>96</v>
      </c>
    </row>
    <row r="41" spans="1:7" ht="29" x14ac:dyDescent="0.35">
      <c r="A41" s="47" t="s">
        <v>2003</v>
      </c>
      <c r="B41" s="34" t="s">
        <v>96</v>
      </c>
    </row>
    <row r="42" spans="1:7" x14ac:dyDescent="0.35">
      <c r="A42" t="s">
        <v>2004</v>
      </c>
      <c r="B42" s="49">
        <v>8.1143291753100204</v>
      </c>
    </row>
    <row r="43" spans="1:7" ht="43.5" x14ac:dyDescent="0.35">
      <c r="A43" s="47" t="s">
        <v>2005</v>
      </c>
      <c r="B43" s="34" t="s">
        <v>96</v>
      </c>
    </row>
    <row r="44" spans="1:7" ht="29" x14ac:dyDescent="0.35">
      <c r="A44" s="47" t="s">
        <v>2006</v>
      </c>
      <c r="B44" s="34" t="s">
        <v>96</v>
      </c>
    </row>
    <row r="45" spans="1:7" ht="29" x14ac:dyDescent="0.35">
      <c r="A45" s="47" t="s">
        <v>2009</v>
      </c>
      <c r="B45" s="34" t="s">
        <v>96</v>
      </c>
    </row>
    <row r="46" spans="1:7" ht="29" x14ac:dyDescent="0.35">
      <c r="A46" s="47" t="s">
        <v>2135</v>
      </c>
      <c r="B46" s="34" t="s">
        <v>96</v>
      </c>
    </row>
    <row r="47" spans="1:7" ht="29" x14ac:dyDescent="0.35">
      <c r="A47" s="47" t="s">
        <v>2136</v>
      </c>
      <c r="B47" s="34" t="s">
        <v>96</v>
      </c>
    </row>
    <row r="49" spans="1:4" ht="29" x14ac:dyDescent="0.35">
      <c r="A49" s="227" t="s">
        <v>2154</v>
      </c>
      <c r="B49" s="228" t="s">
        <v>2155</v>
      </c>
      <c r="C49" s="228" t="s">
        <v>2156</v>
      </c>
      <c r="D49" s="232" t="s">
        <v>2157</v>
      </c>
    </row>
    <row r="50" spans="1:4" ht="75.5" customHeight="1" x14ac:dyDescent="0.35">
      <c r="A50" s="231" t="s">
        <v>2182</v>
      </c>
      <c r="B50" s="230"/>
      <c r="C50" s="229" t="s">
        <v>2168</v>
      </c>
      <c r="D50" s="230"/>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F8C1-F72C-4754-B95B-A108E5031E60}">
  <dimension ref="A1:H51"/>
  <sheetViews>
    <sheetView showGridLines="0" workbookViewId="0">
      <pane ySplit="4" topLeftCell="A50" activePane="bottomLeft" state="frozen"/>
      <selection activeCell="A2" sqref="A2:XFD2"/>
      <selection pane="bottomLeft" activeCell="B51" sqref="B51:D51"/>
    </sheetView>
  </sheetViews>
  <sheetFormatPr defaultRowHeight="14.5" x14ac:dyDescent="0.35"/>
  <cols>
    <col min="1" max="1" width="50.453125" customWidth="1"/>
    <col min="2" max="2" width="22.26953125" customWidth="1"/>
    <col min="3" max="3" width="26.6328125" customWidth="1"/>
    <col min="4" max="4" width="21.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35</v>
      </c>
      <c r="B1" s="151"/>
      <c r="C1" s="151"/>
      <c r="D1" s="151"/>
      <c r="E1" s="151"/>
      <c r="F1" s="151"/>
      <c r="G1" s="151"/>
      <c r="H1" s="50" t="str">
        <f>HYPERLINK("[EDEL_Portfolio Monthly Notes 31-Oct-2022.xlsx]Index!A1","Index")</f>
        <v>Index</v>
      </c>
    </row>
    <row r="2" spans="1:8" ht="31" customHeight="1" x14ac:dyDescent="0.35">
      <c r="A2" s="151" t="s">
        <v>36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605</v>
      </c>
      <c r="B10" s="30"/>
      <c r="C10" s="30"/>
      <c r="D10" s="13"/>
      <c r="E10" s="14"/>
      <c r="F10" s="15"/>
      <c r="G10" s="15"/>
    </row>
    <row r="11" spans="1:8" x14ac:dyDescent="0.35">
      <c r="A11" s="12" t="s">
        <v>614</v>
      </c>
      <c r="B11" s="30" t="s">
        <v>615</v>
      </c>
      <c r="C11" s="30"/>
      <c r="D11" s="13">
        <v>22003848</v>
      </c>
      <c r="E11" s="14">
        <v>223094.81</v>
      </c>
      <c r="F11" s="15">
        <v>0.99670000000000003</v>
      </c>
      <c r="G11" s="15"/>
    </row>
    <row r="12" spans="1:8" x14ac:dyDescent="0.35">
      <c r="A12" s="16" t="s">
        <v>102</v>
      </c>
      <c r="B12" s="31"/>
      <c r="C12" s="31"/>
      <c r="D12" s="17"/>
      <c r="E12" s="18">
        <v>223094.81</v>
      </c>
      <c r="F12" s="19">
        <v>0.99670000000000003</v>
      </c>
      <c r="G12" s="20"/>
    </row>
    <row r="13" spans="1:8" x14ac:dyDescent="0.35">
      <c r="A13" s="12"/>
      <c r="B13" s="30"/>
      <c r="C13" s="30"/>
      <c r="D13" s="13"/>
      <c r="E13" s="14"/>
      <c r="F13" s="15"/>
      <c r="G13" s="15"/>
    </row>
    <row r="14" spans="1:8" x14ac:dyDescent="0.35">
      <c r="A14" s="21" t="s">
        <v>129</v>
      </c>
      <c r="B14" s="32"/>
      <c r="C14" s="32"/>
      <c r="D14" s="22"/>
      <c r="E14" s="18">
        <v>223094.81</v>
      </c>
      <c r="F14" s="19">
        <v>0.99670000000000003</v>
      </c>
      <c r="G14" s="20"/>
    </row>
    <row r="15" spans="1:8" x14ac:dyDescent="0.35">
      <c r="A15" s="12"/>
      <c r="B15" s="30"/>
      <c r="C15" s="30"/>
      <c r="D15" s="13"/>
      <c r="E15" s="14"/>
      <c r="F15" s="15"/>
      <c r="G15" s="15"/>
    </row>
    <row r="16" spans="1:8" x14ac:dyDescent="0.35">
      <c r="A16" s="16" t="s">
        <v>130</v>
      </c>
      <c r="B16" s="30"/>
      <c r="C16" s="30"/>
      <c r="D16" s="13"/>
      <c r="E16" s="14"/>
      <c r="F16" s="15"/>
      <c r="G16" s="15"/>
    </row>
    <row r="17" spans="1:7" x14ac:dyDescent="0.35">
      <c r="A17" s="12" t="s">
        <v>131</v>
      </c>
      <c r="B17" s="30"/>
      <c r="C17" s="30"/>
      <c r="D17" s="13"/>
      <c r="E17" s="14">
        <v>941.84</v>
      </c>
      <c r="F17" s="15">
        <v>4.1999999999999997E-3</v>
      </c>
      <c r="G17" s="79">
        <v>6.1074000000000003E-2</v>
      </c>
    </row>
    <row r="18" spans="1:7" x14ac:dyDescent="0.35">
      <c r="A18" s="16" t="s">
        <v>102</v>
      </c>
      <c r="B18" s="31"/>
      <c r="C18" s="31"/>
      <c r="D18" s="17"/>
      <c r="E18" s="18">
        <v>941.84</v>
      </c>
      <c r="F18" s="19">
        <v>4.1999999999999997E-3</v>
      </c>
      <c r="G18" s="80"/>
    </row>
    <row r="19" spans="1:7" x14ac:dyDescent="0.35">
      <c r="A19" s="12"/>
      <c r="B19" s="30"/>
      <c r="C19" s="30"/>
      <c r="D19" s="13"/>
      <c r="E19" s="14"/>
      <c r="F19" s="15"/>
      <c r="G19" s="79"/>
    </row>
    <row r="20" spans="1:7" x14ac:dyDescent="0.35">
      <c r="A20" s="21" t="s">
        <v>129</v>
      </c>
      <c r="B20" s="32"/>
      <c r="C20" s="32"/>
      <c r="D20" s="22"/>
      <c r="E20" s="18">
        <v>941.84</v>
      </c>
      <c r="F20" s="19">
        <v>4.1999999999999997E-3</v>
      </c>
      <c r="G20" s="80"/>
    </row>
    <row r="21" spans="1:7" x14ac:dyDescent="0.35">
      <c r="A21" s="12" t="s">
        <v>132</v>
      </c>
      <c r="B21" s="30"/>
      <c r="C21" s="30"/>
      <c r="D21" s="13"/>
      <c r="E21" s="14">
        <v>0.1575947</v>
      </c>
      <c r="F21" s="15">
        <v>0</v>
      </c>
      <c r="G21" s="79"/>
    </row>
    <row r="22" spans="1:7" x14ac:dyDescent="0.35">
      <c r="A22" s="12" t="s">
        <v>133</v>
      </c>
      <c r="B22" s="30"/>
      <c r="C22" s="30"/>
      <c r="D22" s="13"/>
      <c r="E22" s="23">
        <v>-212.64759470000001</v>
      </c>
      <c r="F22" s="24">
        <v>-8.9999999999999998E-4</v>
      </c>
      <c r="G22" s="79">
        <v>6.1074000000000003E-2</v>
      </c>
    </row>
    <row r="23" spans="1:7" x14ac:dyDescent="0.35">
      <c r="A23" s="25" t="s">
        <v>134</v>
      </c>
      <c r="B23" s="33"/>
      <c r="C23" s="33"/>
      <c r="D23" s="26"/>
      <c r="E23" s="27">
        <v>223824.16</v>
      </c>
      <c r="F23" s="28">
        <v>1</v>
      </c>
      <c r="G23" s="28"/>
    </row>
    <row r="28" spans="1:7" x14ac:dyDescent="0.35">
      <c r="A28" s="1" t="s">
        <v>1981</v>
      </c>
    </row>
    <row r="29" spans="1:7" x14ac:dyDescent="0.35">
      <c r="A29" s="47" t="s">
        <v>1982</v>
      </c>
      <c r="B29" s="34" t="s">
        <v>96</v>
      </c>
    </row>
    <row r="30" spans="1:7" x14ac:dyDescent="0.35">
      <c r="A30" t="s">
        <v>1983</v>
      </c>
    </row>
    <row r="31" spans="1:7" x14ac:dyDescent="0.35">
      <c r="A31" t="s">
        <v>1984</v>
      </c>
      <c r="B31" t="s">
        <v>1985</v>
      </c>
      <c r="C31" t="s">
        <v>1985</v>
      </c>
    </row>
    <row r="32" spans="1:7" x14ac:dyDescent="0.35">
      <c r="B32" s="48">
        <v>44834</v>
      </c>
      <c r="C32" s="48">
        <v>44865</v>
      </c>
    </row>
    <row r="33" spans="1:7" x14ac:dyDescent="0.35">
      <c r="A33" t="s">
        <v>1989</v>
      </c>
      <c r="B33">
        <v>10.055899999999999</v>
      </c>
      <c r="C33">
        <v>10.1449</v>
      </c>
      <c r="E33" s="2"/>
      <c r="G33"/>
    </row>
    <row r="34" spans="1:7" x14ac:dyDescent="0.35">
      <c r="A34" t="s">
        <v>1990</v>
      </c>
      <c r="B34">
        <v>10.055899999999999</v>
      </c>
      <c r="C34">
        <v>10.1449</v>
      </c>
      <c r="E34" s="2"/>
      <c r="G34"/>
    </row>
    <row r="35" spans="1:7" x14ac:dyDescent="0.35">
      <c r="A35" t="s">
        <v>2014</v>
      </c>
      <c r="B35">
        <v>10.055899999999999</v>
      </c>
      <c r="C35">
        <v>10.1449</v>
      </c>
      <c r="E35" s="2"/>
      <c r="G35"/>
    </row>
    <row r="36" spans="1:7" x14ac:dyDescent="0.35">
      <c r="A36" t="s">
        <v>2015</v>
      </c>
      <c r="B36">
        <v>10.055899999999999</v>
      </c>
      <c r="C36">
        <v>10.1449</v>
      </c>
      <c r="E36" s="2"/>
      <c r="G36"/>
    </row>
    <row r="37" spans="1:7" x14ac:dyDescent="0.35">
      <c r="E37" s="2"/>
      <c r="G37"/>
    </row>
    <row r="38" spans="1:7" x14ac:dyDescent="0.35">
      <c r="A38" t="s">
        <v>2000</v>
      </c>
      <c r="B38" s="34" t="s">
        <v>96</v>
      </c>
    </row>
    <row r="39" spans="1:7" x14ac:dyDescent="0.35">
      <c r="A39" t="s">
        <v>2001</v>
      </c>
      <c r="B39" s="34" t="s">
        <v>96</v>
      </c>
    </row>
    <row r="40" spans="1:7" ht="29" x14ac:dyDescent="0.35">
      <c r="A40" s="47" t="s">
        <v>2002</v>
      </c>
      <c r="B40" s="34" t="s">
        <v>96</v>
      </c>
    </row>
    <row r="41" spans="1:7" ht="29" x14ac:dyDescent="0.35">
      <c r="A41" s="47" t="s">
        <v>2003</v>
      </c>
      <c r="B41" s="34" t="s">
        <v>96</v>
      </c>
    </row>
    <row r="42" spans="1:7" x14ac:dyDescent="0.35">
      <c r="A42" t="s">
        <v>2004</v>
      </c>
      <c r="B42" s="49">
        <v>9.2642485722932406</v>
      </c>
    </row>
    <row r="43" spans="1:7" ht="43.5" x14ac:dyDescent="0.35">
      <c r="A43" s="47" t="s">
        <v>2005</v>
      </c>
      <c r="B43" s="34" t="s">
        <v>96</v>
      </c>
    </row>
    <row r="44" spans="1:7" ht="29" x14ac:dyDescent="0.35">
      <c r="A44" s="47" t="s">
        <v>2006</v>
      </c>
      <c r="B44" s="34" t="s">
        <v>96</v>
      </c>
    </row>
    <row r="45" spans="1:7" ht="29" x14ac:dyDescent="0.35">
      <c r="A45" s="47" t="s">
        <v>2009</v>
      </c>
      <c r="B45" s="34" t="s">
        <v>96</v>
      </c>
    </row>
    <row r="46" spans="1:7" ht="29" x14ac:dyDescent="0.35">
      <c r="A46" s="47" t="s">
        <v>2135</v>
      </c>
      <c r="B46" s="34" t="s">
        <v>96</v>
      </c>
    </row>
    <row r="47" spans="1:7" ht="29" x14ac:dyDescent="0.35">
      <c r="A47" s="47" t="s">
        <v>2136</v>
      </c>
      <c r="B47" s="34" t="s">
        <v>96</v>
      </c>
    </row>
    <row r="50" spans="1:4" ht="29" x14ac:dyDescent="0.35">
      <c r="A50" s="233" t="s">
        <v>2154</v>
      </c>
      <c r="B50" s="234" t="s">
        <v>2155</v>
      </c>
      <c r="C50" s="234" t="s">
        <v>2156</v>
      </c>
      <c r="D50" s="239" t="s">
        <v>2157</v>
      </c>
    </row>
    <row r="51" spans="1:4" ht="73" customHeight="1" x14ac:dyDescent="0.35">
      <c r="A51" s="238" t="s">
        <v>2183</v>
      </c>
      <c r="B51" s="235"/>
      <c r="C51" s="236" t="s">
        <v>2170</v>
      </c>
      <c r="D51" s="237"/>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ACD-32A5-4C78-89FF-5FFE86CB6A13}">
  <dimension ref="A1:H86"/>
  <sheetViews>
    <sheetView showGridLines="0" workbookViewId="0">
      <pane ySplit="4" topLeftCell="A85" activePane="bottomLeft" state="frozen"/>
      <selection activeCell="A2" sqref="A2:XFD2"/>
      <selection pane="bottomLeft" activeCell="F86" sqref="F86"/>
    </sheetView>
  </sheetViews>
  <sheetFormatPr defaultRowHeight="14.5" x14ac:dyDescent="0.35"/>
  <cols>
    <col min="1" max="1" width="50.453125" customWidth="1"/>
    <col min="2" max="2" width="22.08984375" customWidth="1"/>
    <col min="3" max="3" width="26.6328125" customWidth="1"/>
    <col min="4" max="4" width="22" customWidth="1"/>
    <col min="5" max="5" width="16.453125" customWidth="1"/>
    <col min="6" max="6" width="22.0898437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37</v>
      </c>
      <c r="B1" s="151"/>
      <c r="C1" s="151"/>
      <c r="D1" s="151"/>
      <c r="E1" s="151"/>
      <c r="F1" s="151"/>
      <c r="G1" s="151"/>
      <c r="H1" s="50" t="str">
        <f>HYPERLINK("[EDEL_Portfolio Monthly Notes 31-Oct-2022.xlsx]Index!A1","Index")</f>
        <v>Index</v>
      </c>
    </row>
    <row r="2" spans="1:8" ht="31" customHeight="1" x14ac:dyDescent="0.35">
      <c r="A2" s="151" t="s">
        <v>38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6" t="s">
        <v>137</v>
      </c>
      <c r="B8" s="30"/>
      <c r="C8" s="30"/>
      <c r="D8" s="13"/>
      <c r="E8" s="14"/>
      <c r="F8" s="15"/>
      <c r="G8" s="15"/>
    </row>
    <row r="9" spans="1:8" x14ac:dyDescent="0.35">
      <c r="A9" s="16" t="s">
        <v>523</v>
      </c>
      <c r="B9" s="30"/>
      <c r="C9" s="30"/>
      <c r="D9" s="13"/>
      <c r="E9" s="14"/>
      <c r="F9" s="15"/>
      <c r="G9" s="15"/>
    </row>
    <row r="10" spans="1:8" x14ac:dyDescent="0.35">
      <c r="A10" s="16" t="s">
        <v>102</v>
      </c>
      <c r="B10" s="30"/>
      <c r="C10" s="30"/>
      <c r="D10" s="13"/>
      <c r="E10" s="35" t="s">
        <v>96</v>
      </c>
      <c r="F10" s="36" t="s">
        <v>96</v>
      </c>
      <c r="G10" s="15"/>
    </row>
    <row r="11" spans="1:8" x14ac:dyDescent="0.35">
      <c r="A11" s="12"/>
      <c r="B11" s="30"/>
      <c r="C11" s="30"/>
      <c r="D11" s="13"/>
      <c r="E11" s="14"/>
      <c r="F11" s="15"/>
      <c r="G11" s="15"/>
    </row>
    <row r="12" spans="1:8" x14ac:dyDescent="0.35">
      <c r="A12" s="16" t="s">
        <v>403</v>
      </c>
      <c r="B12" s="30"/>
      <c r="C12" s="30"/>
      <c r="D12" s="13"/>
      <c r="E12" s="14"/>
      <c r="F12" s="15"/>
      <c r="G12" s="15"/>
    </row>
    <row r="13" spans="1:8" x14ac:dyDescent="0.35">
      <c r="A13" s="12" t="s">
        <v>524</v>
      </c>
      <c r="B13" s="30" t="s">
        <v>525</v>
      </c>
      <c r="C13" s="30" t="s">
        <v>101</v>
      </c>
      <c r="D13" s="13">
        <v>7000000</v>
      </c>
      <c r="E13" s="14">
        <v>6999.59</v>
      </c>
      <c r="F13" s="15">
        <v>0.61</v>
      </c>
      <c r="G13" s="15">
        <v>7.3780999999999999E-2</v>
      </c>
    </row>
    <row r="14" spans="1:8" x14ac:dyDescent="0.35">
      <c r="A14" s="12" t="s">
        <v>616</v>
      </c>
      <c r="B14" s="30" t="s">
        <v>617</v>
      </c>
      <c r="C14" s="30" t="s">
        <v>101</v>
      </c>
      <c r="D14" s="13">
        <v>2000000</v>
      </c>
      <c r="E14" s="14">
        <v>1974.02</v>
      </c>
      <c r="F14" s="15">
        <v>0.17199999999999999</v>
      </c>
      <c r="G14" s="15">
        <v>7.4467000000000005E-2</v>
      </c>
    </row>
    <row r="15" spans="1:8" x14ac:dyDescent="0.35">
      <c r="A15" s="12" t="s">
        <v>618</v>
      </c>
      <c r="B15" s="30" t="s">
        <v>619</v>
      </c>
      <c r="C15" s="30" t="s">
        <v>101</v>
      </c>
      <c r="D15" s="13">
        <v>389100</v>
      </c>
      <c r="E15" s="14">
        <v>359.11</v>
      </c>
      <c r="F15" s="15">
        <v>3.1300000000000001E-2</v>
      </c>
      <c r="G15" s="15">
        <v>7.5659000000000004E-2</v>
      </c>
    </row>
    <row r="16" spans="1:8" x14ac:dyDescent="0.35">
      <c r="A16" s="16" t="s">
        <v>102</v>
      </c>
      <c r="B16" s="31"/>
      <c r="C16" s="31"/>
      <c r="D16" s="17"/>
      <c r="E16" s="18">
        <v>9332.7199999999993</v>
      </c>
      <c r="F16" s="19">
        <v>0.81330000000000002</v>
      </c>
      <c r="G16" s="20"/>
    </row>
    <row r="17" spans="1:7" x14ac:dyDescent="0.35">
      <c r="A17" s="12"/>
      <c r="B17" s="30"/>
      <c r="C17" s="30"/>
      <c r="D17" s="13"/>
      <c r="E17" s="14"/>
      <c r="F17" s="15"/>
      <c r="G17" s="15"/>
    </row>
    <row r="18" spans="1:7" x14ac:dyDescent="0.35">
      <c r="A18" s="16" t="s">
        <v>526</v>
      </c>
      <c r="B18" s="30"/>
      <c r="C18" s="30"/>
      <c r="D18" s="13"/>
      <c r="E18" s="14"/>
      <c r="F18" s="15"/>
      <c r="G18" s="15"/>
    </row>
    <row r="19" spans="1:7" x14ac:dyDescent="0.35">
      <c r="A19" s="12" t="s">
        <v>620</v>
      </c>
      <c r="B19" s="30" t="s">
        <v>621</v>
      </c>
      <c r="C19" s="30" t="s">
        <v>101</v>
      </c>
      <c r="D19" s="13">
        <v>9100</v>
      </c>
      <c r="E19" s="14">
        <v>9.41</v>
      </c>
      <c r="F19" s="15">
        <v>8.0000000000000004E-4</v>
      </c>
      <c r="G19" s="15">
        <v>7.6882000000000006E-2</v>
      </c>
    </row>
    <row r="20" spans="1:7" x14ac:dyDescent="0.35">
      <c r="A20" s="16" t="s">
        <v>102</v>
      </c>
      <c r="B20" s="31"/>
      <c r="C20" s="31"/>
      <c r="D20" s="17"/>
      <c r="E20" s="18">
        <v>9.41</v>
      </c>
      <c r="F20" s="19">
        <v>8.0000000000000004E-4</v>
      </c>
      <c r="G20" s="20"/>
    </row>
    <row r="21" spans="1:7" x14ac:dyDescent="0.35">
      <c r="A21" s="12"/>
      <c r="B21" s="30"/>
      <c r="C21" s="30"/>
      <c r="D21" s="13"/>
      <c r="E21" s="14"/>
      <c r="F21" s="15"/>
      <c r="G21" s="15"/>
    </row>
    <row r="22" spans="1:7" x14ac:dyDescent="0.35">
      <c r="A22" s="12"/>
      <c r="B22" s="30"/>
      <c r="C22" s="30"/>
      <c r="D22" s="13"/>
      <c r="E22" s="14"/>
      <c r="F22" s="15"/>
      <c r="G22" s="15"/>
    </row>
    <row r="23" spans="1:7" x14ac:dyDescent="0.35">
      <c r="A23" s="16" t="s">
        <v>192</v>
      </c>
      <c r="B23" s="30"/>
      <c r="C23" s="30"/>
      <c r="D23" s="13"/>
      <c r="E23" s="14"/>
      <c r="F23" s="15"/>
      <c r="G23" s="15"/>
    </row>
    <row r="24" spans="1:7" x14ac:dyDescent="0.35">
      <c r="A24" s="16" t="s">
        <v>102</v>
      </c>
      <c r="B24" s="30"/>
      <c r="C24" s="30"/>
      <c r="D24" s="13"/>
      <c r="E24" s="35" t="s">
        <v>96</v>
      </c>
      <c r="F24" s="36" t="s">
        <v>96</v>
      </c>
      <c r="G24" s="15"/>
    </row>
    <row r="25" spans="1:7" x14ac:dyDescent="0.35">
      <c r="A25" s="12"/>
      <c r="B25" s="30"/>
      <c r="C25" s="30"/>
      <c r="D25" s="13"/>
      <c r="E25" s="14"/>
      <c r="F25" s="15"/>
      <c r="G25" s="15"/>
    </row>
    <row r="26" spans="1:7" x14ac:dyDescent="0.35">
      <c r="A26" s="16" t="s">
        <v>193</v>
      </c>
      <c r="B26" s="30"/>
      <c r="C26" s="30"/>
      <c r="D26" s="13"/>
      <c r="E26" s="14"/>
      <c r="F26" s="15"/>
      <c r="G26" s="15"/>
    </row>
    <row r="27" spans="1:7" x14ac:dyDescent="0.35">
      <c r="A27" s="16" t="s">
        <v>102</v>
      </c>
      <c r="B27" s="30"/>
      <c r="C27" s="30"/>
      <c r="D27" s="13"/>
      <c r="E27" s="35" t="s">
        <v>96</v>
      </c>
      <c r="F27" s="36" t="s">
        <v>96</v>
      </c>
      <c r="G27" s="15"/>
    </row>
    <row r="28" spans="1:7" x14ac:dyDescent="0.35">
      <c r="A28" s="12"/>
      <c r="B28" s="30"/>
      <c r="C28" s="30"/>
      <c r="D28" s="13"/>
      <c r="E28" s="14"/>
      <c r="F28" s="15"/>
      <c r="G28" s="15"/>
    </row>
    <row r="29" spans="1:7" x14ac:dyDescent="0.35">
      <c r="A29" s="21" t="s">
        <v>129</v>
      </c>
      <c r="B29" s="32"/>
      <c r="C29" s="32"/>
      <c r="D29" s="22"/>
      <c r="E29" s="18">
        <v>9342.1299999999992</v>
      </c>
      <c r="F29" s="19">
        <v>0.81410000000000005</v>
      </c>
      <c r="G29" s="20"/>
    </row>
    <row r="30" spans="1:7" x14ac:dyDescent="0.35">
      <c r="A30" s="12"/>
      <c r="B30" s="30"/>
      <c r="C30" s="30"/>
      <c r="D30" s="13"/>
      <c r="E30" s="14"/>
      <c r="F30" s="15"/>
      <c r="G30" s="15"/>
    </row>
    <row r="31" spans="1:7" x14ac:dyDescent="0.35">
      <c r="A31" s="12"/>
      <c r="B31" s="30"/>
      <c r="C31" s="30"/>
      <c r="D31" s="13"/>
      <c r="E31" s="14"/>
      <c r="F31" s="15"/>
      <c r="G31" s="15"/>
    </row>
    <row r="32" spans="1:7" x14ac:dyDescent="0.35">
      <c r="A32" s="16" t="s">
        <v>130</v>
      </c>
      <c r="B32" s="30"/>
      <c r="C32" s="30"/>
      <c r="D32" s="13"/>
      <c r="E32" s="14"/>
      <c r="F32" s="15"/>
      <c r="G32" s="15"/>
    </row>
    <row r="33" spans="1:7" x14ac:dyDescent="0.35">
      <c r="A33" s="12" t="s">
        <v>131</v>
      </c>
      <c r="B33" s="30"/>
      <c r="C33" s="30"/>
      <c r="D33" s="13"/>
      <c r="E33" s="14">
        <v>1880.69</v>
      </c>
      <c r="F33" s="15">
        <v>0.16389999999999999</v>
      </c>
      <c r="G33" s="81">
        <v>6.1074000000000003E-2</v>
      </c>
    </row>
    <row r="34" spans="1:7" x14ac:dyDescent="0.35">
      <c r="A34" s="16" t="s">
        <v>102</v>
      </c>
      <c r="B34" s="31"/>
      <c r="C34" s="31"/>
      <c r="D34" s="17"/>
      <c r="E34" s="18">
        <v>1880.69</v>
      </c>
      <c r="F34" s="19">
        <v>0.16389999999999999</v>
      </c>
      <c r="G34" s="82"/>
    </row>
    <row r="35" spans="1:7" x14ac:dyDescent="0.35">
      <c r="A35" s="12"/>
      <c r="B35" s="30"/>
      <c r="C35" s="30"/>
      <c r="D35" s="13"/>
      <c r="E35" s="14"/>
      <c r="F35" s="15"/>
      <c r="G35" s="81"/>
    </row>
    <row r="36" spans="1:7" x14ac:dyDescent="0.35">
      <c r="A36" s="21" t="s">
        <v>129</v>
      </c>
      <c r="B36" s="32"/>
      <c r="C36" s="32"/>
      <c r="D36" s="22"/>
      <c r="E36" s="18">
        <v>1880.69</v>
      </c>
      <c r="F36" s="19">
        <v>0.16389999999999999</v>
      </c>
      <c r="G36" s="82"/>
    </row>
    <row r="37" spans="1:7" x14ac:dyDescent="0.35">
      <c r="A37" s="12" t="s">
        <v>132</v>
      </c>
      <c r="B37" s="30"/>
      <c r="C37" s="30"/>
      <c r="D37" s="13"/>
      <c r="E37" s="14">
        <v>226.4061762</v>
      </c>
      <c r="F37" s="15">
        <v>1.9730000000000001E-2</v>
      </c>
      <c r="G37" s="81"/>
    </row>
    <row r="38" spans="1:7" x14ac:dyDescent="0.35">
      <c r="A38" s="12" t="s">
        <v>133</v>
      </c>
      <c r="B38" s="30"/>
      <c r="C38" s="30"/>
      <c r="D38" s="13"/>
      <c r="E38" s="14">
        <v>25.453823799999999</v>
      </c>
      <c r="F38" s="15">
        <v>2.2699999999999999E-3</v>
      </c>
      <c r="G38" s="81">
        <v>6.1074000000000003E-2</v>
      </c>
    </row>
    <row r="39" spans="1:7" x14ac:dyDescent="0.35">
      <c r="A39" s="25" t="s">
        <v>134</v>
      </c>
      <c r="B39" s="33"/>
      <c r="C39" s="33"/>
      <c r="D39" s="26"/>
      <c r="E39" s="27">
        <v>11474.68</v>
      </c>
      <c r="F39" s="28">
        <v>1</v>
      </c>
      <c r="G39" s="28"/>
    </row>
    <row r="41" spans="1:7" x14ac:dyDescent="0.35">
      <c r="A41" s="1" t="s">
        <v>136</v>
      </c>
    </row>
    <row r="44" spans="1:7" x14ac:dyDescent="0.35">
      <c r="A44" s="1" t="s">
        <v>1981</v>
      </c>
    </row>
    <row r="45" spans="1:7" x14ac:dyDescent="0.35">
      <c r="A45" s="47" t="s">
        <v>1982</v>
      </c>
      <c r="B45" s="34" t="s">
        <v>96</v>
      </c>
    </row>
    <row r="46" spans="1:7" x14ac:dyDescent="0.35">
      <c r="A46" t="s">
        <v>1983</v>
      </c>
    </row>
    <row r="47" spans="1:7" x14ac:dyDescent="0.35">
      <c r="A47" t="s">
        <v>1984</v>
      </c>
      <c r="B47" t="s">
        <v>1985</v>
      </c>
      <c r="C47" t="s">
        <v>1985</v>
      </c>
    </row>
    <row r="48" spans="1:7" x14ac:dyDescent="0.35">
      <c r="B48" s="48">
        <v>44834</v>
      </c>
      <c r="C48" s="48">
        <v>44865</v>
      </c>
    </row>
    <row r="49" spans="1:7" x14ac:dyDescent="0.35">
      <c r="A49" t="s">
        <v>1986</v>
      </c>
      <c r="B49" t="s">
        <v>1988</v>
      </c>
      <c r="C49" t="s">
        <v>1988</v>
      </c>
      <c r="E49" s="2"/>
      <c r="G49"/>
    </row>
    <row r="50" spans="1:7" x14ac:dyDescent="0.35">
      <c r="A50" t="s">
        <v>1987</v>
      </c>
      <c r="B50" t="s">
        <v>1988</v>
      </c>
      <c r="C50" t="s">
        <v>1988</v>
      </c>
      <c r="E50" s="2"/>
      <c r="G50"/>
    </row>
    <row r="51" spans="1:7" x14ac:dyDescent="0.35">
      <c r="A51" t="s">
        <v>2010</v>
      </c>
      <c r="B51">
        <v>20.000499999999999</v>
      </c>
      <c r="C51">
        <v>20.0227</v>
      </c>
      <c r="E51" s="2"/>
      <c r="G51"/>
    </row>
    <row r="52" spans="1:7" x14ac:dyDescent="0.35">
      <c r="A52" t="s">
        <v>1989</v>
      </c>
      <c r="B52">
        <v>20.870699999999999</v>
      </c>
      <c r="C52">
        <v>20.913699999999999</v>
      </c>
      <c r="E52" s="2"/>
      <c r="G52"/>
    </row>
    <row r="53" spans="1:7" x14ac:dyDescent="0.35">
      <c r="A53" t="s">
        <v>1990</v>
      </c>
      <c r="B53">
        <v>20.787500000000001</v>
      </c>
      <c r="C53">
        <v>20.830400000000001</v>
      </c>
      <c r="E53" s="2"/>
      <c r="G53"/>
    </row>
    <row r="54" spans="1:7" x14ac:dyDescent="0.35">
      <c r="A54" t="s">
        <v>2011</v>
      </c>
      <c r="B54">
        <v>16.604600000000001</v>
      </c>
      <c r="C54">
        <v>16.617100000000001</v>
      </c>
      <c r="E54" s="2"/>
      <c r="G54"/>
    </row>
    <row r="55" spans="1:7" x14ac:dyDescent="0.35">
      <c r="A55" t="s">
        <v>2012</v>
      </c>
      <c r="B55">
        <v>16.0779</v>
      </c>
      <c r="C55">
        <v>16.039400000000001</v>
      </c>
      <c r="E55" s="2"/>
      <c r="G55"/>
    </row>
    <row r="56" spans="1:7" x14ac:dyDescent="0.35">
      <c r="A56" t="s">
        <v>1994</v>
      </c>
      <c r="B56">
        <v>19.985499999999998</v>
      </c>
      <c r="C56">
        <v>20.015699999999999</v>
      </c>
      <c r="E56" s="2"/>
      <c r="G56"/>
    </row>
    <row r="57" spans="1:7" x14ac:dyDescent="0.35">
      <c r="A57" t="s">
        <v>1998</v>
      </c>
      <c r="B57" t="s">
        <v>1988</v>
      </c>
      <c r="C57" t="s">
        <v>1988</v>
      </c>
      <c r="E57" s="2"/>
      <c r="G57"/>
    </row>
    <row r="58" spans="1:7" x14ac:dyDescent="0.35">
      <c r="A58" t="s">
        <v>2013</v>
      </c>
      <c r="B58">
        <v>19.479099999999999</v>
      </c>
      <c r="C58">
        <v>19.496200000000002</v>
      </c>
      <c r="E58" s="2"/>
      <c r="G58"/>
    </row>
    <row r="59" spans="1:7" x14ac:dyDescent="0.35">
      <c r="A59" t="s">
        <v>2014</v>
      </c>
      <c r="B59">
        <v>19.976800000000001</v>
      </c>
      <c r="C59">
        <v>20.006900000000002</v>
      </c>
      <c r="E59" s="2"/>
      <c r="G59"/>
    </row>
    <row r="60" spans="1:7" x14ac:dyDescent="0.35">
      <c r="A60" t="s">
        <v>2015</v>
      </c>
      <c r="B60">
        <v>19.989699999999999</v>
      </c>
      <c r="C60">
        <v>20.02</v>
      </c>
      <c r="E60" s="2"/>
      <c r="G60"/>
    </row>
    <row r="61" spans="1:7" x14ac:dyDescent="0.35">
      <c r="A61" t="s">
        <v>2016</v>
      </c>
      <c r="B61">
        <v>10.371</v>
      </c>
      <c r="C61">
        <v>10.3779</v>
      </c>
      <c r="E61" s="2"/>
      <c r="G61"/>
    </row>
    <row r="62" spans="1:7" x14ac:dyDescent="0.35">
      <c r="A62" t="s">
        <v>2017</v>
      </c>
      <c r="B62">
        <v>10.217499999999999</v>
      </c>
      <c r="C62">
        <v>10.232900000000001</v>
      </c>
      <c r="E62" s="2"/>
      <c r="G62"/>
    </row>
    <row r="63" spans="1:7" x14ac:dyDescent="0.35">
      <c r="A63" t="s">
        <v>1999</v>
      </c>
      <c r="E63" s="2"/>
      <c r="G63"/>
    </row>
    <row r="65" spans="1:7" x14ac:dyDescent="0.35">
      <c r="A65" t="s">
        <v>2020</v>
      </c>
    </row>
    <row r="67" spans="1:7" x14ac:dyDescent="0.35">
      <c r="A67" s="149" t="s">
        <v>2021</v>
      </c>
      <c r="B67" s="149" t="s">
        <v>2022</v>
      </c>
      <c r="C67" s="149" t="s">
        <v>2023</v>
      </c>
      <c r="D67" s="149" t="s">
        <v>2024</v>
      </c>
    </row>
    <row r="68" spans="1:7" x14ac:dyDescent="0.35">
      <c r="A68" s="149" t="s">
        <v>2141</v>
      </c>
      <c r="B68" s="149"/>
      <c r="C68" s="149">
        <v>1.9160699999999999E-2</v>
      </c>
      <c r="D68" s="149">
        <v>1.9160699999999999E-2</v>
      </c>
    </row>
    <row r="69" spans="1:7" s="137" customFormat="1" x14ac:dyDescent="0.35">
      <c r="A69" s="149" t="s">
        <v>2142</v>
      </c>
      <c r="B69" s="149"/>
      <c r="C69" s="149">
        <v>2.1862599999999999E-2</v>
      </c>
      <c r="D69" s="149">
        <v>2.1862599999999999E-2</v>
      </c>
      <c r="G69" s="2"/>
    </row>
    <row r="70" spans="1:7" s="137" customFormat="1" x14ac:dyDescent="0.35">
      <c r="A70" s="149" t="s">
        <v>2025</v>
      </c>
      <c r="B70" s="149"/>
      <c r="C70" s="149">
        <v>7.1629300000000007E-2</v>
      </c>
      <c r="D70" s="149">
        <v>7.1629300000000007E-2</v>
      </c>
      <c r="G70" s="2"/>
    </row>
    <row r="71" spans="1:7" s="137" customFormat="1" x14ac:dyDescent="0.35">
      <c r="A71" s="149" t="s">
        <v>2042</v>
      </c>
      <c r="B71" s="149"/>
      <c r="C71" s="149">
        <v>1.2537700000000001E-2</v>
      </c>
      <c r="D71" s="149">
        <v>1.2537700000000001E-2</v>
      </c>
      <c r="G71" s="2"/>
    </row>
    <row r="72" spans="1:7" s="137" customFormat="1" x14ac:dyDescent="0.35">
      <c r="A72" s="149" t="s">
        <v>2045</v>
      </c>
      <c r="B72" s="149"/>
      <c r="C72" s="149">
        <v>8.8026000000000007E-3</v>
      </c>
      <c r="D72" s="149">
        <v>8.8026000000000007E-3</v>
      </c>
      <c r="G72" s="2"/>
    </row>
    <row r="74" spans="1:7" x14ac:dyDescent="0.35">
      <c r="A74" t="s">
        <v>2001</v>
      </c>
      <c r="B74" s="34" t="s">
        <v>96</v>
      </c>
    </row>
    <row r="75" spans="1:7" ht="29" x14ac:dyDescent="0.35">
      <c r="A75" s="47" t="s">
        <v>2002</v>
      </c>
      <c r="B75" s="34" t="s">
        <v>96</v>
      </c>
    </row>
    <row r="76" spans="1:7" ht="29" x14ac:dyDescent="0.35">
      <c r="A76" s="47" t="s">
        <v>2003</v>
      </c>
      <c r="B76" s="34" t="s">
        <v>96</v>
      </c>
    </row>
    <row r="77" spans="1:7" x14ac:dyDescent="0.35">
      <c r="A77" t="s">
        <v>2004</v>
      </c>
      <c r="B77" s="49">
        <v>5.8808838268654604</v>
      </c>
    </row>
    <row r="78" spans="1:7" ht="43.5" x14ac:dyDescent="0.35">
      <c r="A78" s="47" t="s">
        <v>2005</v>
      </c>
      <c r="B78" s="34" t="s">
        <v>96</v>
      </c>
    </row>
    <row r="79" spans="1:7" ht="29" x14ac:dyDescent="0.35">
      <c r="A79" s="47" t="s">
        <v>2006</v>
      </c>
      <c r="B79" s="34" t="s">
        <v>96</v>
      </c>
    </row>
    <row r="80" spans="1:7" ht="29" x14ac:dyDescent="0.35">
      <c r="A80" s="47" t="s">
        <v>2009</v>
      </c>
      <c r="B80" s="34" t="s">
        <v>96</v>
      </c>
    </row>
    <row r="81" spans="1:6" ht="29" x14ac:dyDescent="0.35">
      <c r="A81" s="47" t="s">
        <v>2135</v>
      </c>
      <c r="B81" s="34" t="s">
        <v>96</v>
      </c>
    </row>
    <row r="82" spans="1:6" ht="29" x14ac:dyDescent="0.35">
      <c r="A82" s="47" t="s">
        <v>2136</v>
      </c>
      <c r="B82" s="34" t="s">
        <v>96</v>
      </c>
    </row>
    <row r="85" spans="1:6" ht="29" x14ac:dyDescent="0.35">
      <c r="A85" s="240" t="s">
        <v>2154</v>
      </c>
      <c r="B85" s="241" t="s">
        <v>2155</v>
      </c>
      <c r="C85" s="241" t="s">
        <v>2156</v>
      </c>
      <c r="D85" s="245" t="s">
        <v>2157</v>
      </c>
      <c r="E85" s="245" t="s">
        <v>2156</v>
      </c>
      <c r="F85" s="245" t="s">
        <v>2157</v>
      </c>
    </row>
    <row r="86" spans="1:6" ht="69.5" customHeight="1" x14ac:dyDescent="0.35">
      <c r="A86" s="244" t="s">
        <v>2184</v>
      </c>
      <c r="B86" s="243"/>
      <c r="C86" s="242" t="s">
        <v>2185</v>
      </c>
      <c r="D86" s="243"/>
      <c r="E86" s="242" t="s">
        <v>2186</v>
      </c>
      <c r="F86" s="243"/>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7E06-156E-4BFD-8002-E963F2097FF3}">
  <dimension ref="A1:H107"/>
  <sheetViews>
    <sheetView showGridLines="0" workbookViewId="0">
      <pane ySplit="4" topLeftCell="A105" activePane="bottomLeft" state="frozen"/>
      <selection activeCell="A2" sqref="A2:XFD2"/>
      <selection pane="bottomLeft" activeCell="D107" sqref="D107"/>
    </sheetView>
  </sheetViews>
  <sheetFormatPr defaultRowHeight="14.5" x14ac:dyDescent="0.35"/>
  <cols>
    <col min="1" max="1" width="50.453125" customWidth="1"/>
    <col min="2" max="2" width="22" customWidth="1"/>
    <col min="3" max="3" width="26.6328125" customWidth="1"/>
    <col min="4" max="4" width="22.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39</v>
      </c>
      <c r="B1" s="151"/>
      <c r="C1" s="151"/>
      <c r="D1" s="151"/>
      <c r="E1" s="151"/>
      <c r="F1" s="151"/>
      <c r="G1" s="151"/>
      <c r="H1" s="50" t="str">
        <f>HYPERLINK("[EDEL_Portfolio Monthly Notes 31-Oct-2022.xlsx]Index!A1","Index")</f>
        <v>Index</v>
      </c>
    </row>
    <row r="2" spans="1:8" ht="31" customHeight="1" x14ac:dyDescent="0.35">
      <c r="A2" s="151" t="s">
        <v>40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622</v>
      </c>
      <c r="B11" s="30" t="s">
        <v>623</v>
      </c>
      <c r="C11" s="30" t="s">
        <v>141</v>
      </c>
      <c r="D11" s="13">
        <v>20000000</v>
      </c>
      <c r="E11" s="14">
        <v>19910.64</v>
      </c>
      <c r="F11" s="15">
        <v>7.5399999999999995E-2</v>
      </c>
      <c r="G11" s="15">
        <v>7.4450000000000002E-2</v>
      </c>
    </row>
    <row r="12" spans="1:8" x14ac:dyDescent="0.35">
      <c r="A12" s="12" t="s">
        <v>624</v>
      </c>
      <c r="B12" s="30" t="s">
        <v>625</v>
      </c>
      <c r="C12" s="30" t="s">
        <v>141</v>
      </c>
      <c r="D12" s="13">
        <v>16000000</v>
      </c>
      <c r="E12" s="14">
        <v>15864.58</v>
      </c>
      <c r="F12" s="15">
        <v>6.0100000000000001E-2</v>
      </c>
      <c r="G12" s="15">
        <v>7.5499999999999998E-2</v>
      </c>
    </row>
    <row r="13" spans="1:8" x14ac:dyDescent="0.35">
      <c r="A13" s="12" t="s">
        <v>626</v>
      </c>
      <c r="B13" s="30" t="s">
        <v>627</v>
      </c>
      <c r="C13" s="30" t="s">
        <v>141</v>
      </c>
      <c r="D13" s="13">
        <v>15000000</v>
      </c>
      <c r="E13" s="14">
        <v>15184.86</v>
      </c>
      <c r="F13" s="15">
        <v>5.7500000000000002E-2</v>
      </c>
      <c r="G13" s="15">
        <v>7.5575000000000003E-2</v>
      </c>
    </row>
    <row r="14" spans="1:8" x14ac:dyDescent="0.35">
      <c r="A14" s="12" t="s">
        <v>628</v>
      </c>
      <c r="B14" s="30" t="s">
        <v>629</v>
      </c>
      <c r="C14" s="30" t="s">
        <v>141</v>
      </c>
      <c r="D14" s="13">
        <v>15000000</v>
      </c>
      <c r="E14" s="14">
        <v>14245.52</v>
      </c>
      <c r="F14" s="15">
        <v>5.3999999999999999E-2</v>
      </c>
      <c r="G14" s="15">
        <v>7.5399999999999995E-2</v>
      </c>
    </row>
    <row r="15" spans="1:8" x14ac:dyDescent="0.35">
      <c r="A15" s="12" t="s">
        <v>630</v>
      </c>
      <c r="B15" s="30" t="s">
        <v>631</v>
      </c>
      <c r="C15" s="30" t="s">
        <v>141</v>
      </c>
      <c r="D15" s="13">
        <v>11000000</v>
      </c>
      <c r="E15" s="14">
        <v>11141.54</v>
      </c>
      <c r="F15" s="15">
        <v>4.2200000000000001E-2</v>
      </c>
      <c r="G15" s="15">
        <v>7.485E-2</v>
      </c>
    </row>
    <row r="16" spans="1:8" x14ac:dyDescent="0.35">
      <c r="A16" s="12" t="s">
        <v>632</v>
      </c>
      <c r="B16" s="30" t="s">
        <v>633</v>
      </c>
      <c r="C16" s="30" t="s">
        <v>141</v>
      </c>
      <c r="D16" s="13">
        <v>11000000</v>
      </c>
      <c r="E16" s="14">
        <v>11139.24</v>
      </c>
      <c r="F16" s="15">
        <v>4.2200000000000001E-2</v>
      </c>
      <c r="G16" s="15">
        <v>7.5200000000000003E-2</v>
      </c>
    </row>
    <row r="17" spans="1:7" x14ac:dyDescent="0.35">
      <c r="A17" s="12" t="s">
        <v>634</v>
      </c>
      <c r="B17" s="30" t="s">
        <v>635</v>
      </c>
      <c r="C17" s="30" t="s">
        <v>141</v>
      </c>
      <c r="D17" s="13">
        <v>5000000</v>
      </c>
      <c r="E17" s="14">
        <v>5060.83</v>
      </c>
      <c r="F17" s="15">
        <v>1.9199999999999998E-2</v>
      </c>
      <c r="G17" s="15">
        <v>7.5950000000000004E-2</v>
      </c>
    </row>
    <row r="18" spans="1:7" x14ac:dyDescent="0.35">
      <c r="A18" s="12" t="s">
        <v>636</v>
      </c>
      <c r="B18" s="30" t="s">
        <v>637</v>
      </c>
      <c r="C18" s="30" t="s">
        <v>141</v>
      </c>
      <c r="D18" s="13">
        <v>3500000</v>
      </c>
      <c r="E18" s="14">
        <v>3492.63</v>
      </c>
      <c r="F18" s="15">
        <v>1.32E-2</v>
      </c>
      <c r="G18" s="15">
        <v>7.5899999999999995E-2</v>
      </c>
    </row>
    <row r="19" spans="1:7" x14ac:dyDescent="0.35">
      <c r="A19" s="12" t="s">
        <v>638</v>
      </c>
      <c r="B19" s="30" t="s">
        <v>639</v>
      </c>
      <c r="C19" s="30" t="s">
        <v>141</v>
      </c>
      <c r="D19" s="13">
        <v>3000000</v>
      </c>
      <c r="E19" s="14">
        <v>2964.67</v>
      </c>
      <c r="F19" s="15">
        <v>1.12E-2</v>
      </c>
      <c r="G19" s="15">
        <v>7.5700000000000003E-2</v>
      </c>
    </row>
    <row r="20" spans="1:7" x14ac:dyDescent="0.35">
      <c r="A20" s="12" t="s">
        <v>640</v>
      </c>
      <c r="B20" s="30" t="s">
        <v>641</v>
      </c>
      <c r="C20" s="30" t="s">
        <v>157</v>
      </c>
      <c r="D20" s="13">
        <v>3000000</v>
      </c>
      <c r="E20" s="14">
        <v>2954.82</v>
      </c>
      <c r="F20" s="15">
        <v>1.12E-2</v>
      </c>
      <c r="G20" s="15">
        <v>7.5399999999999995E-2</v>
      </c>
    </row>
    <row r="21" spans="1:7" x14ac:dyDescent="0.35">
      <c r="A21" s="12" t="s">
        <v>642</v>
      </c>
      <c r="B21" s="30" t="s">
        <v>643</v>
      </c>
      <c r="C21" s="30" t="s">
        <v>141</v>
      </c>
      <c r="D21" s="13">
        <v>2700000</v>
      </c>
      <c r="E21" s="14">
        <v>2772.22</v>
      </c>
      <c r="F21" s="15">
        <v>1.0500000000000001E-2</v>
      </c>
      <c r="G21" s="15">
        <v>7.5503000000000001E-2</v>
      </c>
    </row>
    <row r="22" spans="1:7" x14ac:dyDescent="0.35">
      <c r="A22" s="12" t="s">
        <v>644</v>
      </c>
      <c r="B22" s="30" t="s">
        <v>645</v>
      </c>
      <c r="C22" s="30" t="s">
        <v>141</v>
      </c>
      <c r="D22" s="13">
        <v>2500000</v>
      </c>
      <c r="E22" s="14">
        <v>2614.04</v>
      </c>
      <c r="F22" s="15">
        <v>9.9000000000000008E-3</v>
      </c>
      <c r="G22" s="15">
        <v>7.4749999999999997E-2</v>
      </c>
    </row>
    <row r="23" spans="1:7" x14ac:dyDescent="0.35">
      <c r="A23" s="12" t="s">
        <v>646</v>
      </c>
      <c r="B23" s="30" t="s">
        <v>647</v>
      </c>
      <c r="C23" s="30" t="s">
        <v>141</v>
      </c>
      <c r="D23" s="13">
        <v>2500000</v>
      </c>
      <c r="E23" s="14">
        <v>2499.92</v>
      </c>
      <c r="F23" s="15">
        <v>9.4999999999999998E-3</v>
      </c>
      <c r="G23" s="15">
        <v>7.5186000000000003E-2</v>
      </c>
    </row>
    <row r="24" spans="1:7" x14ac:dyDescent="0.35">
      <c r="A24" s="12" t="s">
        <v>648</v>
      </c>
      <c r="B24" s="30" t="s">
        <v>649</v>
      </c>
      <c r="C24" s="30" t="s">
        <v>148</v>
      </c>
      <c r="D24" s="13">
        <v>2000000</v>
      </c>
      <c r="E24" s="14">
        <v>2005.28</v>
      </c>
      <c r="F24" s="15">
        <v>7.6E-3</v>
      </c>
      <c r="G24" s="15">
        <v>7.4149999999999994E-2</v>
      </c>
    </row>
    <row r="25" spans="1:7" x14ac:dyDescent="0.35">
      <c r="A25" s="12" t="s">
        <v>650</v>
      </c>
      <c r="B25" s="30" t="s">
        <v>651</v>
      </c>
      <c r="C25" s="30" t="s">
        <v>148</v>
      </c>
      <c r="D25" s="13">
        <v>1500000</v>
      </c>
      <c r="E25" s="14">
        <v>1592.21</v>
      </c>
      <c r="F25" s="15">
        <v>6.0000000000000001E-3</v>
      </c>
      <c r="G25" s="15">
        <v>7.5200000000000003E-2</v>
      </c>
    </row>
    <row r="26" spans="1:7" x14ac:dyDescent="0.35">
      <c r="A26" s="12" t="s">
        <v>652</v>
      </c>
      <c r="B26" s="30" t="s">
        <v>653</v>
      </c>
      <c r="C26" s="30" t="s">
        <v>141</v>
      </c>
      <c r="D26" s="13">
        <v>1500000</v>
      </c>
      <c r="E26" s="14">
        <v>1480.66</v>
      </c>
      <c r="F26" s="15">
        <v>5.5999999999999999E-3</v>
      </c>
      <c r="G26" s="15">
        <v>7.5902999999999998E-2</v>
      </c>
    </row>
    <row r="27" spans="1:7" x14ac:dyDescent="0.35">
      <c r="A27" s="12" t="s">
        <v>654</v>
      </c>
      <c r="B27" s="30" t="s">
        <v>655</v>
      </c>
      <c r="C27" s="30" t="s">
        <v>141</v>
      </c>
      <c r="D27" s="13">
        <v>500000</v>
      </c>
      <c r="E27" s="14">
        <v>474.15</v>
      </c>
      <c r="F27" s="15">
        <v>1.8E-3</v>
      </c>
      <c r="G27" s="15">
        <v>7.5225E-2</v>
      </c>
    </row>
    <row r="28" spans="1:7" x14ac:dyDescent="0.35">
      <c r="A28" s="16" t="s">
        <v>102</v>
      </c>
      <c r="B28" s="31"/>
      <c r="C28" s="31"/>
      <c r="D28" s="17"/>
      <c r="E28" s="18">
        <v>115397.81</v>
      </c>
      <c r="F28" s="19">
        <v>0.43709999999999999</v>
      </c>
      <c r="G28" s="20"/>
    </row>
    <row r="29" spans="1:7" x14ac:dyDescent="0.35">
      <c r="A29" s="12"/>
      <c r="B29" s="30"/>
      <c r="C29" s="30"/>
      <c r="D29" s="13"/>
      <c r="E29" s="14"/>
      <c r="F29" s="15"/>
      <c r="G29" s="15"/>
    </row>
    <row r="30" spans="1:7" x14ac:dyDescent="0.35">
      <c r="A30" s="16" t="s">
        <v>403</v>
      </c>
      <c r="B30" s="30"/>
      <c r="C30" s="30"/>
      <c r="D30" s="13"/>
      <c r="E30" s="14"/>
      <c r="F30" s="15"/>
      <c r="G30" s="15"/>
    </row>
    <row r="31" spans="1:7" x14ac:dyDescent="0.35">
      <c r="A31" s="12" t="s">
        <v>656</v>
      </c>
      <c r="B31" s="30" t="s">
        <v>657</v>
      </c>
      <c r="C31" s="30" t="s">
        <v>101</v>
      </c>
      <c r="D31" s="13">
        <v>2000000</v>
      </c>
      <c r="E31" s="14">
        <v>1891.72</v>
      </c>
      <c r="F31" s="15">
        <v>7.1999999999999998E-3</v>
      </c>
      <c r="G31" s="15">
        <v>7.3112999999999997E-2</v>
      </c>
    </row>
    <row r="32" spans="1:7" x14ac:dyDescent="0.35">
      <c r="A32" s="16" t="s">
        <v>102</v>
      </c>
      <c r="B32" s="31"/>
      <c r="C32" s="31"/>
      <c r="D32" s="17"/>
      <c r="E32" s="18">
        <v>1891.72</v>
      </c>
      <c r="F32" s="19">
        <v>7.1999999999999998E-3</v>
      </c>
      <c r="G32" s="20"/>
    </row>
    <row r="33" spans="1:7" x14ac:dyDescent="0.35">
      <c r="A33" s="16" t="s">
        <v>526</v>
      </c>
      <c r="B33" s="30"/>
      <c r="C33" s="30"/>
      <c r="D33" s="13"/>
      <c r="E33" s="14"/>
      <c r="F33" s="15"/>
      <c r="G33" s="15"/>
    </row>
    <row r="34" spans="1:7" x14ac:dyDescent="0.35">
      <c r="A34" s="12" t="s">
        <v>658</v>
      </c>
      <c r="B34" s="30" t="s">
        <v>659</v>
      </c>
      <c r="C34" s="30" t="s">
        <v>101</v>
      </c>
      <c r="D34" s="13">
        <v>14000000</v>
      </c>
      <c r="E34" s="14">
        <v>13537.97</v>
      </c>
      <c r="F34" s="15">
        <v>5.1299999999999998E-2</v>
      </c>
      <c r="G34" s="15">
        <v>7.4690999999999994E-2</v>
      </c>
    </row>
    <row r="35" spans="1:7" x14ac:dyDescent="0.35">
      <c r="A35" s="12" t="s">
        <v>660</v>
      </c>
      <c r="B35" s="30" t="s">
        <v>661</v>
      </c>
      <c r="C35" s="30" t="s">
        <v>101</v>
      </c>
      <c r="D35" s="13">
        <v>10500000</v>
      </c>
      <c r="E35" s="14">
        <v>10594.21</v>
      </c>
      <c r="F35" s="15">
        <v>4.0099999999999997E-2</v>
      </c>
      <c r="G35" s="15">
        <v>7.5290999999999997E-2</v>
      </c>
    </row>
    <row r="36" spans="1:7" x14ac:dyDescent="0.35">
      <c r="A36" s="12" t="s">
        <v>662</v>
      </c>
      <c r="B36" s="30" t="s">
        <v>663</v>
      </c>
      <c r="C36" s="30" t="s">
        <v>101</v>
      </c>
      <c r="D36" s="13">
        <v>10000000</v>
      </c>
      <c r="E36" s="14">
        <v>9879.9</v>
      </c>
      <c r="F36" s="15">
        <v>3.7400000000000003E-2</v>
      </c>
      <c r="G36" s="15">
        <v>7.5319999999999998E-2</v>
      </c>
    </row>
    <row r="37" spans="1:7" x14ac:dyDescent="0.35">
      <c r="A37" s="12" t="s">
        <v>664</v>
      </c>
      <c r="B37" s="30" t="s">
        <v>665</v>
      </c>
      <c r="C37" s="30" t="s">
        <v>101</v>
      </c>
      <c r="D37" s="13">
        <v>9500000</v>
      </c>
      <c r="E37" s="14">
        <v>9605.5300000000007</v>
      </c>
      <c r="F37" s="15">
        <v>3.6400000000000002E-2</v>
      </c>
      <c r="G37" s="15">
        <v>7.4937000000000004E-2</v>
      </c>
    </row>
    <row r="38" spans="1:7" x14ac:dyDescent="0.35">
      <c r="A38" s="12" t="s">
        <v>666</v>
      </c>
      <c r="B38" s="30" t="s">
        <v>667</v>
      </c>
      <c r="C38" s="30" t="s">
        <v>101</v>
      </c>
      <c r="D38" s="13">
        <v>8500000</v>
      </c>
      <c r="E38" s="14">
        <v>8582.2900000000009</v>
      </c>
      <c r="F38" s="15">
        <v>3.2500000000000001E-2</v>
      </c>
      <c r="G38" s="15">
        <v>7.4800000000000005E-2</v>
      </c>
    </row>
    <row r="39" spans="1:7" x14ac:dyDescent="0.35">
      <c r="A39" s="12" t="s">
        <v>668</v>
      </c>
      <c r="B39" s="30" t="s">
        <v>669</v>
      </c>
      <c r="C39" s="30" t="s">
        <v>101</v>
      </c>
      <c r="D39" s="13">
        <v>8500000</v>
      </c>
      <c r="E39" s="14">
        <v>8529.51</v>
      </c>
      <c r="F39" s="15">
        <v>3.2300000000000002E-2</v>
      </c>
      <c r="G39" s="15">
        <v>7.4890999999999999E-2</v>
      </c>
    </row>
    <row r="40" spans="1:7" x14ac:dyDescent="0.35">
      <c r="A40" s="12" t="s">
        <v>670</v>
      </c>
      <c r="B40" s="30" t="s">
        <v>671</v>
      </c>
      <c r="C40" s="30" t="s">
        <v>101</v>
      </c>
      <c r="D40" s="13">
        <v>7500000</v>
      </c>
      <c r="E40" s="14">
        <v>7710.96</v>
      </c>
      <c r="F40" s="15">
        <v>2.92E-2</v>
      </c>
      <c r="G40" s="15">
        <v>7.5496999999999995E-2</v>
      </c>
    </row>
    <row r="41" spans="1:7" x14ac:dyDescent="0.35">
      <c r="A41" s="12" t="s">
        <v>672</v>
      </c>
      <c r="B41" s="30" t="s">
        <v>673</v>
      </c>
      <c r="C41" s="30" t="s">
        <v>101</v>
      </c>
      <c r="D41" s="13">
        <v>6500000</v>
      </c>
      <c r="E41" s="14">
        <v>6592.22</v>
      </c>
      <c r="F41" s="15">
        <v>2.5000000000000001E-2</v>
      </c>
      <c r="G41" s="15">
        <v>7.5294E-2</v>
      </c>
    </row>
    <row r="42" spans="1:7" x14ac:dyDescent="0.35">
      <c r="A42" s="12" t="s">
        <v>674</v>
      </c>
      <c r="B42" s="30" t="s">
        <v>675</v>
      </c>
      <c r="C42" s="30" t="s">
        <v>101</v>
      </c>
      <c r="D42" s="13">
        <v>5500000</v>
      </c>
      <c r="E42" s="14">
        <v>5524.67</v>
      </c>
      <c r="F42" s="15">
        <v>2.0899999999999998E-2</v>
      </c>
      <c r="G42" s="15">
        <v>7.4811000000000002E-2</v>
      </c>
    </row>
    <row r="43" spans="1:7" x14ac:dyDescent="0.35">
      <c r="A43" s="12" t="s">
        <v>676</v>
      </c>
      <c r="B43" s="30" t="s">
        <v>677</v>
      </c>
      <c r="C43" s="30" t="s">
        <v>101</v>
      </c>
      <c r="D43" s="13">
        <v>5500000</v>
      </c>
      <c r="E43" s="14">
        <v>5510.33</v>
      </c>
      <c r="F43" s="15">
        <v>2.0899999999999998E-2</v>
      </c>
      <c r="G43" s="15">
        <v>7.5331999999999996E-2</v>
      </c>
    </row>
    <row r="44" spans="1:7" x14ac:dyDescent="0.35">
      <c r="A44" s="12" t="s">
        <v>678</v>
      </c>
      <c r="B44" s="30" t="s">
        <v>679</v>
      </c>
      <c r="C44" s="30" t="s">
        <v>101</v>
      </c>
      <c r="D44" s="13">
        <v>5000000</v>
      </c>
      <c r="E44" s="14">
        <v>5046.38</v>
      </c>
      <c r="F44" s="15">
        <v>1.9099999999999999E-2</v>
      </c>
      <c r="G44" s="15">
        <v>7.4811000000000002E-2</v>
      </c>
    </row>
    <row r="45" spans="1:7" x14ac:dyDescent="0.35">
      <c r="A45" s="12" t="s">
        <v>680</v>
      </c>
      <c r="B45" s="30" t="s">
        <v>681</v>
      </c>
      <c r="C45" s="30" t="s">
        <v>101</v>
      </c>
      <c r="D45" s="13">
        <v>5000000</v>
      </c>
      <c r="E45" s="14">
        <v>5044.8100000000004</v>
      </c>
      <c r="F45" s="15">
        <v>1.9099999999999999E-2</v>
      </c>
      <c r="G45" s="15">
        <v>7.5294E-2</v>
      </c>
    </row>
    <row r="46" spans="1:7" x14ac:dyDescent="0.35">
      <c r="A46" s="12" t="s">
        <v>682</v>
      </c>
      <c r="B46" s="30" t="s">
        <v>683</v>
      </c>
      <c r="C46" s="30" t="s">
        <v>101</v>
      </c>
      <c r="D46" s="13">
        <v>5000000</v>
      </c>
      <c r="E46" s="14">
        <v>5028.53</v>
      </c>
      <c r="F46" s="15">
        <v>1.9E-2</v>
      </c>
      <c r="G46" s="15">
        <v>7.4829999999999994E-2</v>
      </c>
    </row>
    <row r="47" spans="1:7" x14ac:dyDescent="0.35">
      <c r="A47" s="12" t="s">
        <v>684</v>
      </c>
      <c r="B47" s="30" t="s">
        <v>685</v>
      </c>
      <c r="C47" s="30" t="s">
        <v>101</v>
      </c>
      <c r="D47" s="13">
        <v>5000000</v>
      </c>
      <c r="E47" s="14">
        <v>5018.9399999999996</v>
      </c>
      <c r="F47" s="15">
        <v>1.9E-2</v>
      </c>
      <c r="G47" s="15">
        <v>7.5004000000000001E-2</v>
      </c>
    </row>
    <row r="48" spans="1:7" x14ac:dyDescent="0.35">
      <c r="A48" s="12" t="s">
        <v>686</v>
      </c>
      <c r="B48" s="30" t="s">
        <v>687</v>
      </c>
      <c r="C48" s="30" t="s">
        <v>101</v>
      </c>
      <c r="D48" s="13">
        <v>5000000</v>
      </c>
      <c r="E48" s="14">
        <v>5018.4799999999996</v>
      </c>
      <c r="F48" s="15">
        <v>1.9E-2</v>
      </c>
      <c r="G48" s="15">
        <v>7.4829999999999994E-2</v>
      </c>
    </row>
    <row r="49" spans="1:7" x14ac:dyDescent="0.35">
      <c r="A49" s="12" t="s">
        <v>688</v>
      </c>
      <c r="B49" s="30" t="s">
        <v>689</v>
      </c>
      <c r="C49" s="30" t="s">
        <v>101</v>
      </c>
      <c r="D49" s="13">
        <v>4500000</v>
      </c>
      <c r="E49" s="14">
        <v>4509.1099999999997</v>
      </c>
      <c r="F49" s="15">
        <v>1.7100000000000001E-2</v>
      </c>
      <c r="G49" s="15">
        <v>7.5290999999999997E-2</v>
      </c>
    </row>
    <row r="50" spans="1:7" x14ac:dyDescent="0.35">
      <c r="A50" s="12" t="s">
        <v>690</v>
      </c>
      <c r="B50" s="30" t="s">
        <v>691</v>
      </c>
      <c r="C50" s="30" t="s">
        <v>101</v>
      </c>
      <c r="D50" s="13">
        <v>4500000</v>
      </c>
      <c r="E50" s="14">
        <v>4374.41</v>
      </c>
      <c r="F50" s="15">
        <v>1.66E-2</v>
      </c>
      <c r="G50" s="15">
        <v>7.4735999999999997E-2</v>
      </c>
    </row>
    <row r="51" spans="1:7" x14ac:dyDescent="0.35">
      <c r="A51" s="12" t="s">
        <v>692</v>
      </c>
      <c r="B51" s="30" t="s">
        <v>693</v>
      </c>
      <c r="C51" s="30" t="s">
        <v>101</v>
      </c>
      <c r="D51" s="13">
        <v>2500000</v>
      </c>
      <c r="E51" s="14">
        <v>2534.54</v>
      </c>
      <c r="F51" s="15">
        <v>9.5999999999999992E-3</v>
      </c>
      <c r="G51" s="15">
        <v>7.4800000000000005E-2</v>
      </c>
    </row>
    <row r="52" spans="1:7" x14ac:dyDescent="0.35">
      <c r="A52" s="12" t="s">
        <v>694</v>
      </c>
      <c r="B52" s="30" t="s">
        <v>695</v>
      </c>
      <c r="C52" s="30" t="s">
        <v>101</v>
      </c>
      <c r="D52" s="13">
        <v>2500000</v>
      </c>
      <c r="E52" s="14">
        <v>2533.52</v>
      </c>
      <c r="F52" s="15">
        <v>9.5999999999999992E-3</v>
      </c>
      <c r="G52" s="15">
        <v>7.4811000000000002E-2</v>
      </c>
    </row>
    <row r="53" spans="1:7" x14ac:dyDescent="0.35">
      <c r="A53" s="12" t="s">
        <v>696</v>
      </c>
      <c r="B53" s="30" t="s">
        <v>697</v>
      </c>
      <c r="C53" s="30" t="s">
        <v>101</v>
      </c>
      <c r="D53" s="13">
        <v>2500000</v>
      </c>
      <c r="E53" s="14">
        <v>2469.61</v>
      </c>
      <c r="F53" s="15">
        <v>9.4000000000000004E-3</v>
      </c>
      <c r="G53" s="15">
        <v>7.4886999999999995E-2</v>
      </c>
    </row>
    <row r="54" spans="1:7" x14ac:dyDescent="0.35">
      <c r="A54" s="12" t="s">
        <v>698</v>
      </c>
      <c r="B54" s="30" t="s">
        <v>699</v>
      </c>
      <c r="C54" s="30" t="s">
        <v>101</v>
      </c>
      <c r="D54" s="13">
        <v>2500000</v>
      </c>
      <c r="E54" s="14">
        <v>2467.5700000000002</v>
      </c>
      <c r="F54" s="15">
        <v>9.2999999999999992E-3</v>
      </c>
      <c r="G54" s="15">
        <v>7.5319999999999998E-2</v>
      </c>
    </row>
    <row r="55" spans="1:7" x14ac:dyDescent="0.35">
      <c r="A55" s="12" t="s">
        <v>700</v>
      </c>
      <c r="B55" s="30" t="s">
        <v>701</v>
      </c>
      <c r="C55" s="30" t="s">
        <v>101</v>
      </c>
      <c r="D55" s="13">
        <v>2000000</v>
      </c>
      <c r="E55" s="14">
        <v>2007.94</v>
      </c>
      <c r="F55" s="15">
        <v>7.6E-3</v>
      </c>
      <c r="G55" s="15">
        <v>7.4800000000000005E-2</v>
      </c>
    </row>
    <row r="56" spans="1:7" x14ac:dyDescent="0.35">
      <c r="A56" s="12" t="s">
        <v>702</v>
      </c>
      <c r="B56" s="30" t="s">
        <v>703</v>
      </c>
      <c r="C56" s="30" t="s">
        <v>101</v>
      </c>
      <c r="D56" s="13">
        <v>2000000</v>
      </c>
      <c r="E56" s="14">
        <v>1977.23</v>
      </c>
      <c r="F56" s="15">
        <v>7.4999999999999997E-3</v>
      </c>
      <c r="G56" s="15">
        <v>7.5244000000000005E-2</v>
      </c>
    </row>
    <row r="57" spans="1:7" x14ac:dyDescent="0.35">
      <c r="A57" s="12" t="s">
        <v>704</v>
      </c>
      <c r="B57" s="30" t="s">
        <v>705</v>
      </c>
      <c r="C57" s="30" t="s">
        <v>101</v>
      </c>
      <c r="D57" s="13">
        <v>1500000</v>
      </c>
      <c r="E57" s="14">
        <v>1505.7</v>
      </c>
      <c r="F57" s="15">
        <v>5.7000000000000002E-3</v>
      </c>
      <c r="G57" s="15">
        <v>7.4800000000000005E-2</v>
      </c>
    </row>
    <row r="58" spans="1:7" x14ac:dyDescent="0.35">
      <c r="A58" s="12" t="s">
        <v>706</v>
      </c>
      <c r="B58" s="30" t="s">
        <v>707</v>
      </c>
      <c r="C58" s="30" t="s">
        <v>101</v>
      </c>
      <c r="D58" s="13">
        <v>1500000</v>
      </c>
      <c r="E58" s="14">
        <v>1480.88</v>
      </c>
      <c r="F58" s="15">
        <v>5.5999999999999999E-3</v>
      </c>
      <c r="G58" s="15">
        <v>7.4953000000000006E-2</v>
      </c>
    </row>
    <row r="59" spans="1:7" x14ac:dyDescent="0.35">
      <c r="A59" s="12" t="s">
        <v>708</v>
      </c>
      <c r="B59" s="30" t="s">
        <v>709</v>
      </c>
      <c r="C59" s="30" t="s">
        <v>101</v>
      </c>
      <c r="D59" s="13">
        <v>1000000</v>
      </c>
      <c r="E59" s="14">
        <v>1003.98</v>
      </c>
      <c r="F59" s="15">
        <v>3.8E-3</v>
      </c>
      <c r="G59" s="15">
        <v>7.5294E-2</v>
      </c>
    </row>
    <row r="60" spans="1:7" x14ac:dyDescent="0.35">
      <c r="A60" s="16" t="s">
        <v>102</v>
      </c>
      <c r="B60" s="31"/>
      <c r="C60" s="31"/>
      <c r="D60" s="17"/>
      <c r="E60" s="18">
        <v>138089.22</v>
      </c>
      <c r="F60" s="19">
        <v>0.52300000000000002</v>
      </c>
      <c r="G60" s="20"/>
    </row>
    <row r="61" spans="1:7" x14ac:dyDescent="0.35">
      <c r="A61" s="12"/>
      <c r="B61" s="30"/>
      <c r="C61" s="30"/>
      <c r="D61" s="13"/>
      <c r="E61" s="14"/>
      <c r="F61" s="15"/>
      <c r="G61" s="15"/>
    </row>
    <row r="62" spans="1:7" x14ac:dyDescent="0.35">
      <c r="A62" s="12"/>
      <c r="B62" s="30"/>
      <c r="C62" s="30"/>
      <c r="D62" s="13"/>
      <c r="E62" s="14"/>
      <c r="F62" s="15"/>
      <c r="G62" s="15"/>
    </row>
    <row r="63" spans="1:7" x14ac:dyDescent="0.35">
      <c r="A63" s="16" t="s">
        <v>192</v>
      </c>
      <c r="B63" s="30"/>
      <c r="C63" s="30"/>
      <c r="D63" s="13"/>
      <c r="E63" s="14"/>
      <c r="F63" s="15"/>
      <c r="G63" s="15"/>
    </row>
    <row r="64" spans="1:7" x14ac:dyDescent="0.35">
      <c r="A64" s="16" t="s">
        <v>102</v>
      </c>
      <c r="B64" s="30"/>
      <c r="C64" s="30"/>
      <c r="D64" s="13"/>
      <c r="E64" s="35" t="s">
        <v>96</v>
      </c>
      <c r="F64" s="36" t="s">
        <v>96</v>
      </c>
      <c r="G64" s="15"/>
    </row>
    <row r="65" spans="1:7" x14ac:dyDescent="0.35">
      <c r="A65" s="12"/>
      <c r="B65" s="30"/>
      <c r="C65" s="30"/>
      <c r="D65" s="13"/>
      <c r="E65" s="14"/>
      <c r="F65" s="15"/>
      <c r="G65" s="15"/>
    </row>
    <row r="66" spans="1:7" x14ac:dyDescent="0.35">
      <c r="A66" s="16" t="s">
        <v>193</v>
      </c>
      <c r="B66" s="30"/>
      <c r="C66" s="30"/>
      <c r="D66" s="13"/>
      <c r="E66" s="14"/>
      <c r="F66" s="15"/>
      <c r="G66" s="15"/>
    </row>
    <row r="67" spans="1:7" x14ac:dyDescent="0.35">
      <c r="A67" s="16" t="s">
        <v>102</v>
      </c>
      <c r="B67" s="30"/>
      <c r="C67" s="30"/>
      <c r="D67" s="13"/>
      <c r="E67" s="35" t="s">
        <v>96</v>
      </c>
      <c r="F67" s="36" t="s">
        <v>96</v>
      </c>
      <c r="G67" s="15"/>
    </row>
    <row r="68" spans="1:7" x14ac:dyDescent="0.35">
      <c r="A68" s="12"/>
      <c r="B68" s="30"/>
      <c r="C68" s="30"/>
      <c r="D68" s="13"/>
      <c r="E68" s="14"/>
      <c r="F68" s="15"/>
      <c r="G68" s="15"/>
    </row>
    <row r="69" spans="1:7" x14ac:dyDescent="0.35">
      <c r="A69" s="21" t="s">
        <v>129</v>
      </c>
      <c r="B69" s="32"/>
      <c r="C69" s="32"/>
      <c r="D69" s="22"/>
      <c r="E69" s="18">
        <v>255378.75</v>
      </c>
      <c r="F69" s="19">
        <v>0.96730000000000005</v>
      </c>
      <c r="G69" s="20"/>
    </row>
    <row r="70" spans="1:7" x14ac:dyDescent="0.35">
      <c r="A70" s="12"/>
      <c r="B70" s="30"/>
      <c r="C70" s="30"/>
      <c r="D70" s="13"/>
      <c r="E70" s="14"/>
      <c r="F70" s="15"/>
      <c r="G70" s="15"/>
    </row>
    <row r="71" spans="1:7" x14ac:dyDescent="0.35">
      <c r="A71" s="12"/>
      <c r="B71" s="30"/>
      <c r="C71" s="30"/>
      <c r="D71" s="13"/>
      <c r="E71" s="14"/>
      <c r="F71" s="15"/>
      <c r="G71" s="15"/>
    </row>
    <row r="72" spans="1:7" x14ac:dyDescent="0.35">
      <c r="A72" s="16" t="s">
        <v>130</v>
      </c>
      <c r="B72" s="30"/>
      <c r="C72" s="30"/>
      <c r="D72" s="13"/>
      <c r="E72" s="14"/>
      <c r="F72" s="15"/>
      <c r="G72" s="15"/>
    </row>
    <row r="73" spans="1:7" x14ac:dyDescent="0.35">
      <c r="A73" s="12" t="s">
        <v>131</v>
      </c>
      <c r="B73" s="30"/>
      <c r="C73" s="30"/>
      <c r="D73" s="13"/>
      <c r="E73" s="14">
        <v>3322.44</v>
      </c>
      <c r="F73" s="15">
        <v>1.26E-2</v>
      </c>
      <c r="G73" s="83">
        <v>6.1074000000000003E-2</v>
      </c>
    </row>
    <row r="74" spans="1:7" x14ac:dyDescent="0.35">
      <c r="A74" s="16" t="s">
        <v>102</v>
      </c>
      <c r="B74" s="31"/>
      <c r="C74" s="31"/>
      <c r="D74" s="17"/>
      <c r="E74" s="18">
        <v>3322.44</v>
      </c>
      <c r="F74" s="19">
        <v>1.26E-2</v>
      </c>
      <c r="G74" s="84"/>
    </row>
    <row r="75" spans="1:7" x14ac:dyDescent="0.35">
      <c r="A75" s="12"/>
      <c r="B75" s="30"/>
      <c r="C75" s="30"/>
      <c r="D75" s="13"/>
      <c r="E75" s="14"/>
      <c r="F75" s="15"/>
      <c r="G75" s="83"/>
    </row>
    <row r="76" spans="1:7" x14ac:dyDescent="0.35">
      <c r="A76" s="21" t="s">
        <v>129</v>
      </c>
      <c r="B76" s="32"/>
      <c r="C76" s="32"/>
      <c r="D76" s="22"/>
      <c r="E76" s="18">
        <v>3322.44</v>
      </c>
      <c r="F76" s="19">
        <v>1.26E-2</v>
      </c>
      <c r="G76" s="84"/>
    </row>
    <row r="77" spans="1:7" x14ac:dyDescent="0.35">
      <c r="A77" s="12" t="s">
        <v>132</v>
      </c>
      <c r="B77" s="30"/>
      <c r="C77" s="30"/>
      <c r="D77" s="13"/>
      <c r="E77" s="14">
        <v>5268.8850795999997</v>
      </c>
      <c r="F77" s="15">
        <v>1.9959999999999999E-2</v>
      </c>
      <c r="G77" s="83"/>
    </row>
    <row r="78" spans="1:7" x14ac:dyDescent="0.35">
      <c r="A78" s="12" t="s">
        <v>133</v>
      </c>
      <c r="B78" s="30"/>
      <c r="C78" s="30"/>
      <c r="D78" s="13"/>
      <c r="E78" s="23">
        <v>-1.9150796000000001</v>
      </c>
      <c r="F78" s="15">
        <v>1.3999999999999999E-4</v>
      </c>
      <c r="G78" s="83">
        <v>6.1074000000000003E-2</v>
      </c>
    </row>
    <row r="79" spans="1:7" x14ac:dyDescent="0.35">
      <c r="A79" s="25" t="s">
        <v>134</v>
      </c>
      <c r="B79" s="33"/>
      <c r="C79" s="33"/>
      <c r="D79" s="26"/>
      <c r="E79" s="27">
        <v>263968.15999999997</v>
      </c>
      <c r="F79" s="28">
        <v>1</v>
      </c>
      <c r="G79" s="28"/>
    </row>
    <row r="81" spans="1:7" x14ac:dyDescent="0.35">
      <c r="A81" s="1" t="s">
        <v>136</v>
      </c>
    </row>
    <row r="84" spans="1:7" x14ac:dyDescent="0.35">
      <c r="A84" s="1" t="s">
        <v>1981</v>
      </c>
    </row>
    <row r="85" spans="1:7" x14ac:dyDescent="0.35">
      <c r="A85" s="47" t="s">
        <v>1982</v>
      </c>
      <c r="B85" s="34" t="s">
        <v>96</v>
      </c>
    </row>
    <row r="86" spans="1:7" x14ac:dyDescent="0.35">
      <c r="A86" t="s">
        <v>1983</v>
      </c>
    </row>
    <row r="87" spans="1:7" x14ac:dyDescent="0.35">
      <c r="A87" t="s">
        <v>1984</v>
      </c>
      <c r="B87" t="s">
        <v>1985</v>
      </c>
      <c r="C87" t="s">
        <v>1985</v>
      </c>
    </row>
    <row r="88" spans="1:7" x14ac:dyDescent="0.35">
      <c r="B88" s="48">
        <v>44834</v>
      </c>
      <c r="C88" s="48">
        <v>44865</v>
      </c>
    </row>
    <row r="89" spans="1:7" x14ac:dyDescent="0.35">
      <c r="A89" t="s">
        <v>1989</v>
      </c>
      <c r="B89">
        <v>10.118</v>
      </c>
      <c r="C89">
        <v>10.165699999999999</v>
      </c>
      <c r="E89" s="2"/>
      <c r="G89"/>
    </row>
    <row r="90" spans="1:7" x14ac:dyDescent="0.35">
      <c r="A90" t="s">
        <v>1990</v>
      </c>
      <c r="B90">
        <v>10.1167</v>
      </c>
      <c r="C90">
        <v>10.164400000000001</v>
      </c>
      <c r="E90" s="2"/>
      <c r="G90"/>
    </row>
    <row r="91" spans="1:7" x14ac:dyDescent="0.35">
      <c r="A91" t="s">
        <v>2014</v>
      </c>
      <c r="B91">
        <v>10.1013</v>
      </c>
      <c r="C91">
        <v>10.1473</v>
      </c>
      <c r="E91" s="2"/>
      <c r="G91"/>
    </row>
    <row r="92" spans="1:7" x14ac:dyDescent="0.35">
      <c r="A92" t="s">
        <v>2015</v>
      </c>
      <c r="B92">
        <v>10.1015</v>
      </c>
      <c r="C92">
        <v>10.147600000000001</v>
      </c>
      <c r="E92" s="2"/>
      <c r="G92"/>
    </row>
    <row r="93" spans="1:7" x14ac:dyDescent="0.35">
      <c r="E93" s="2"/>
      <c r="G93"/>
    </row>
    <row r="94" spans="1:7" x14ac:dyDescent="0.35">
      <c r="A94" t="s">
        <v>2000</v>
      </c>
      <c r="B94" s="34" t="s">
        <v>96</v>
      </c>
    </row>
    <row r="95" spans="1:7" x14ac:dyDescent="0.35">
      <c r="A95" t="s">
        <v>2001</v>
      </c>
      <c r="B95" s="34" t="s">
        <v>96</v>
      </c>
    </row>
    <row r="96" spans="1:7" ht="29" x14ac:dyDescent="0.35">
      <c r="A96" s="47" t="s">
        <v>2002</v>
      </c>
      <c r="B96" s="34" t="s">
        <v>96</v>
      </c>
    </row>
    <row r="97" spans="1:4" ht="29" x14ac:dyDescent="0.35">
      <c r="A97" s="47" t="s">
        <v>2003</v>
      </c>
      <c r="B97" s="34" t="s">
        <v>96</v>
      </c>
    </row>
    <row r="98" spans="1:4" x14ac:dyDescent="0.35">
      <c r="A98" t="s">
        <v>2004</v>
      </c>
      <c r="B98" s="49">
        <v>4.2039472293041404</v>
      </c>
    </row>
    <row r="99" spans="1:4" ht="43.5" x14ac:dyDescent="0.35">
      <c r="A99" s="47" t="s">
        <v>2005</v>
      </c>
      <c r="B99" s="34" t="s">
        <v>96</v>
      </c>
    </row>
    <row r="100" spans="1:4" ht="29" x14ac:dyDescent="0.35">
      <c r="A100" s="47" t="s">
        <v>2006</v>
      </c>
      <c r="B100" s="34" t="s">
        <v>96</v>
      </c>
    </row>
    <row r="101" spans="1:4" ht="29" x14ac:dyDescent="0.35">
      <c r="A101" s="47" t="s">
        <v>2009</v>
      </c>
      <c r="B101" s="34" t="s">
        <v>96</v>
      </c>
    </row>
    <row r="102" spans="1:4" ht="29" x14ac:dyDescent="0.35">
      <c r="A102" s="47" t="s">
        <v>2135</v>
      </c>
      <c r="B102" s="34" t="s">
        <v>96</v>
      </c>
    </row>
    <row r="103" spans="1:4" ht="29" x14ac:dyDescent="0.35">
      <c r="A103" s="47" t="s">
        <v>2136</v>
      </c>
      <c r="B103" s="34" t="s">
        <v>96</v>
      </c>
    </row>
    <row r="106" spans="1:4" ht="29" x14ac:dyDescent="0.35">
      <c r="A106" s="246" t="s">
        <v>2154</v>
      </c>
      <c r="B106" s="247" t="s">
        <v>2155</v>
      </c>
      <c r="C106" s="247" t="s">
        <v>2156</v>
      </c>
      <c r="D106" s="251" t="s">
        <v>2157</v>
      </c>
    </row>
    <row r="107" spans="1:4" ht="72.5" customHeight="1" x14ac:dyDescent="0.35">
      <c r="A107" s="250" t="s">
        <v>2174</v>
      </c>
      <c r="B107" s="249"/>
      <c r="C107" s="248" t="s">
        <v>2175</v>
      </c>
      <c r="D107" s="24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9D28-6812-4973-B6D4-0EC0ABEF0999}">
  <dimension ref="A1:H133"/>
  <sheetViews>
    <sheetView showGridLines="0" workbookViewId="0">
      <pane ySplit="4" topLeftCell="A133" activePane="bottomLeft" state="frozen"/>
      <selection activeCell="A2" sqref="A2:XFD2"/>
      <selection pane="bottomLeft" activeCell="D133" sqref="D133"/>
    </sheetView>
  </sheetViews>
  <sheetFormatPr defaultRowHeight="14.5" x14ac:dyDescent="0.35"/>
  <cols>
    <col min="1" max="1" width="53.1796875" customWidth="1"/>
    <col min="2" max="2" width="22.81640625" customWidth="1"/>
    <col min="3" max="3" width="26.6328125" customWidth="1"/>
    <col min="4" max="4" width="22.17968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41</v>
      </c>
      <c r="B1" s="151"/>
      <c r="C1" s="151"/>
      <c r="D1" s="151"/>
      <c r="E1" s="151"/>
      <c r="F1" s="151"/>
      <c r="G1" s="151"/>
      <c r="H1" s="50" t="str">
        <f>HYPERLINK("[EDEL_Portfolio Monthly Notes 31-Oct-2022.xlsx]Index!A1","Index")</f>
        <v>Index</v>
      </c>
    </row>
    <row r="2" spans="1:8" ht="31" customHeight="1" x14ac:dyDescent="0.35">
      <c r="A2" s="151" t="s">
        <v>42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137</v>
      </c>
      <c r="B9" s="30"/>
      <c r="C9" s="30"/>
      <c r="D9" s="13"/>
      <c r="E9" s="14"/>
      <c r="F9" s="15"/>
      <c r="G9" s="15"/>
    </row>
    <row r="10" spans="1:8" x14ac:dyDescent="0.35">
      <c r="A10" s="16" t="s">
        <v>138</v>
      </c>
      <c r="B10" s="30"/>
      <c r="C10" s="30"/>
      <c r="D10" s="13"/>
      <c r="E10" s="14"/>
      <c r="F10" s="15"/>
      <c r="G10" s="15"/>
    </row>
    <row r="11" spans="1:8" x14ac:dyDescent="0.35">
      <c r="A11" s="12" t="s">
        <v>710</v>
      </c>
      <c r="B11" s="30" t="s">
        <v>711</v>
      </c>
      <c r="C11" s="30" t="s">
        <v>141</v>
      </c>
      <c r="D11" s="13">
        <v>92500000</v>
      </c>
      <c r="E11" s="14">
        <v>92043.79</v>
      </c>
      <c r="F11" s="15">
        <v>0.12280000000000001</v>
      </c>
      <c r="G11" s="15">
        <v>7.5749999999999998E-2</v>
      </c>
    </row>
    <row r="12" spans="1:8" x14ac:dyDescent="0.35">
      <c r="A12" s="12" t="s">
        <v>712</v>
      </c>
      <c r="B12" s="30" t="s">
        <v>713</v>
      </c>
      <c r="C12" s="30" t="s">
        <v>141</v>
      </c>
      <c r="D12" s="13">
        <v>51500000</v>
      </c>
      <c r="E12" s="14">
        <v>51054.78</v>
      </c>
      <c r="F12" s="15">
        <v>6.8099999999999994E-2</v>
      </c>
      <c r="G12" s="15">
        <v>7.3999999999999996E-2</v>
      </c>
    </row>
    <row r="13" spans="1:8" x14ac:dyDescent="0.35">
      <c r="A13" s="12" t="s">
        <v>714</v>
      </c>
      <c r="B13" s="30" t="s">
        <v>715</v>
      </c>
      <c r="C13" s="30" t="s">
        <v>148</v>
      </c>
      <c r="D13" s="13">
        <v>51000000</v>
      </c>
      <c r="E13" s="14">
        <v>50265.04</v>
      </c>
      <c r="F13" s="15">
        <v>6.7100000000000007E-2</v>
      </c>
      <c r="G13" s="15">
        <v>7.6200000000000004E-2</v>
      </c>
    </row>
    <row r="14" spans="1:8" x14ac:dyDescent="0.35">
      <c r="A14" s="12" t="s">
        <v>716</v>
      </c>
      <c r="B14" s="30" t="s">
        <v>717</v>
      </c>
      <c r="C14" s="30" t="s">
        <v>141</v>
      </c>
      <c r="D14" s="13">
        <v>19000000</v>
      </c>
      <c r="E14" s="14">
        <v>18141.5</v>
      </c>
      <c r="F14" s="15">
        <v>2.4199999999999999E-2</v>
      </c>
      <c r="G14" s="15">
        <v>7.5450000000000003E-2</v>
      </c>
    </row>
    <row r="15" spans="1:8" x14ac:dyDescent="0.35">
      <c r="A15" s="12" t="s">
        <v>718</v>
      </c>
      <c r="B15" s="30" t="s">
        <v>719</v>
      </c>
      <c r="C15" s="30" t="s">
        <v>141</v>
      </c>
      <c r="D15" s="13">
        <v>11200000</v>
      </c>
      <c r="E15" s="14">
        <v>11821.53</v>
      </c>
      <c r="F15" s="15">
        <v>1.5800000000000002E-2</v>
      </c>
      <c r="G15" s="15">
        <v>7.3456999999999995E-2</v>
      </c>
    </row>
    <row r="16" spans="1:8" x14ac:dyDescent="0.35">
      <c r="A16" s="12" t="s">
        <v>720</v>
      </c>
      <c r="B16" s="30" t="s">
        <v>721</v>
      </c>
      <c r="C16" s="30" t="s">
        <v>141</v>
      </c>
      <c r="D16" s="13">
        <v>12000000</v>
      </c>
      <c r="E16" s="14">
        <v>11445.86</v>
      </c>
      <c r="F16" s="15">
        <v>1.5299999999999999E-2</v>
      </c>
      <c r="G16" s="15">
        <v>7.5499999999999998E-2</v>
      </c>
    </row>
    <row r="17" spans="1:7" x14ac:dyDescent="0.35">
      <c r="A17" s="12" t="s">
        <v>722</v>
      </c>
      <c r="B17" s="30" t="s">
        <v>723</v>
      </c>
      <c r="C17" s="30" t="s">
        <v>157</v>
      </c>
      <c r="D17" s="13">
        <v>11000000</v>
      </c>
      <c r="E17" s="14">
        <v>10572.14</v>
      </c>
      <c r="F17" s="15">
        <v>1.41E-2</v>
      </c>
      <c r="G17" s="15">
        <v>7.5997999999999996E-2</v>
      </c>
    </row>
    <row r="18" spans="1:7" x14ac:dyDescent="0.35">
      <c r="A18" s="12" t="s">
        <v>724</v>
      </c>
      <c r="B18" s="30" t="s">
        <v>725</v>
      </c>
      <c r="C18" s="30" t="s">
        <v>141</v>
      </c>
      <c r="D18" s="13">
        <v>10500000</v>
      </c>
      <c r="E18" s="14">
        <v>9999.11</v>
      </c>
      <c r="F18" s="15">
        <v>1.3299999999999999E-2</v>
      </c>
      <c r="G18" s="15">
        <v>7.5499999999999998E-2</v>
      </c>
    </row>
    <row r="19" spans="1:7" x14ac:dyDescent="0.35">
      <c r="A19" s="12" t="s">
        <v>726</v>
      </c>
      <c r="B19" s="30" t="s">
        <v>727</v>
      </c>
      <c r="C19" s="30" t="s">
        <v>157</v>
      </c>
      <c r="D19" s="13">
        <v>7600000</v>
      </c>
      <c r="E19" s="14">
        <v>7536.08</v>
      </c>
      <c r="F19" s="15">
        <v>1.01E-2</v>
      </c>
      <c r="G19" s="15">
        <v>7.4099999999999999E-2</v>
      </c>
    </row>
    <row r="20" spans="1:7" x14ac:dyDescent="0.35">
      <c r="A20" s="12" t="s">
        <v>728</v>
      </c>
      <c r="B20" s="30" t="s">
        <v>729</v>
      </c>
      <c r="C20" s="30" t="s">
        <v>141</v>
      </c>
      <c r="D20" s="13">
        <v>6500000</v>
      </c>
      <c r="E20" s="14">
        <v>6632.5</v>
      </c>
      <c r="F20" s="15">
        <v>8.8000000000000005E-3</v>
      </c>
      <c r="G20" s="15">
        <v>7.4099999999999999E-2</v>
      </c>
    </row>
    <row r="21" spans="1:7" x14ac:dyDescent="0.35">
      <c r="A21" s="12" t="s">
        <v>730</v>
      </c>
      <c r="B21" s="30" t="s">
        <v>731</v>
      </c>
      <c r="C21" s="30" t="s">
        <v>141</v>
      </c>
      <c r="D21" s="13">
        <v>6000000</v>
      </c>
      <c r="E21" s="14">
        <v>6315.73</v>
      </c>
      <c r="F21" s="15">
        <v>8.3999999999999995E-3</v>
      </c>
      <c r="G21" s="15">
        <v>7.4499999999999997E-2</v>
      </c>
    </row>
    <row r="22" spans="1:7" x14ac:dyDescent="0.35">
      <c r="A22" s="12" t="s">
        <v>732</v>
      </c>
      <c r="B22" s="30" t="s">
        <v>733</v>
      </c>
      <c r="C22" s="30" t="s">
        <v>141</v>
      </c>
      <c r="D22" s="13">
        <v>6000000</v>
      </c>
      <c r="E22" s="14">
        <v>6097.79</v>
      </c>
      <c r="F22" s="15">
        <v>8.0999999999999996E-3</v>
      </c>
      <c r="G22" s="15">
        <v>7.4450000000000002E-2</v>
      </c>
    </row>
    <row r="23" spans="1:7" x14ac:dyDescent="0.35">
      <c r="A23" s="12" t="s">
        <v>734</v>
      </c>
      <c r="B23" s="30" t="s">
        <v>735</v>
      </c>
      <c r="C23" s="30" t="s">
        <v>141</v>
      </c>
      <c r="D23" s="13">
        <v>5000000</v>
      </c>
      <c r="E23" s="14">
        <v>5113.41</v>
      </c>
      <c r="F23" s="15">
        <v>6.7999999999999996E-3</v>
      </c>
      <c r="G23" s="15">
        <v>7.4700000000000003E-2</v>
      </c>
    </row>
    <row r="24" spans="1:7" x14ac:dyDescent="0.35">
      <c r="A24" s="12" t="s">
        <v>736</v>
      </c>
      <c r="B24" s="30" t="s">
        <v>737</v>
      </c>
      <c r="C24" s="30" t="s">
        <v>157</v>
      </c>
      <c r="D24" s="13">
        <v>4000000</v>
      </c>
      <c r="E24" s="14">
        <v>3937.86</v>
      </c>
      <c r="F24" s="15">
        <v>5.3E-3</v>
      </c>
      <c r="G24" s="15">
        <v>7.4099999999999999E-2</v>
      </c>
    </row>
    <row r="25" spans="1:7" x14ac:dyDescent="0.35">
      <c r="A25" s="12" t="s">
        <v>738</v>
      </c>
      <c r="B25" s="30" t="s">
        <v>739</v>
      </c>
      <c r="C25" s="30" t="s">
        <v>148</v>
      </c>
      <c r="D25" s="13">
        <v>3300000</v>
      </c>
      <c r="E25" s="14">
        <v>3296.04</v>
      </c>
      <c r="F25" s="15">
        <v>4.4000000000000003E-3</v>
      </c>
      <c r="G25" s="15">
        <v>7.4099999999999999E-2</v>
      </c>
    </row>
    <row r="26" spans="1:7" x14ac:dyDescent="0.35">
      <c r="A26" s="12" t="s">
        <v>740</v>
      </c>
      <c r="B26" s="30" t="s">
        <v>741</v>
      </c>
      <c r="C26" s="30" t="s">
        <v>141</v>
      </c>
      <c r="D26" s="13">
        <v>2700000</v>
      </c>
      <c r="E26" s="14">
        <v>2773.73</v>
      </c>
      <c r="F26" s="15">
        <v>3.7000000000000002E-3</v>
      </c>
      <c r="G26" s="15">
        <v>7.3455000000000006E-2</v>
      </c>
    </row>
    <row r="27" spans="1:7" x14ac:dyDescent="0.35">
      <c r="A27" s="12" t="s">
        <v>742</v>
      </c>
      <c r="B27" s="30" t="s">
        <v>743</v>
      </c>
      <c r="C27" s="30" t="s">
        <v>141</v>
      </c>
      <c r="D27" s="13">
        <v>2500000</v>
      </c>
      <c r="E27" s="14">
        <v>2631.73</v>
      </c>
      <c r="F27" s="15">
        <v>3.5000000000000001E-3</v>
      </c>
      <c r="G27" s="15">
        <v>7.4499999999999997E-2</v>
      </c>
    </row>
    <row r="28" spans="1:7" x14ac:dyDescent="0.35">
      <c r="A28" s="12" t="s">
        <v>744</v>
      </c>
      <c r="B28" s="30" t="s">
        <v>745</v>
      </c>
      <c r="C28" s="30" t="s">
        <v>148</v>
      </c>
      <c r="D28" s="13">
        <v>2500000</v>
      </c>
      <c r="E28" s="14">
        <v>2472.56</v>
      </c>
      <c r="F28" s="15">
        <v>3.3E-3</v>
      </c>
      <c r="G28" s="15">
        <v>7.6200000000000004E-2</v>
      </c>
    </row>
    <row r="29" spans="1:7" x14ac:dyDescent="0.35">
      <c r="A29" s="12" t="s">
        <v>746</v>
      </c>
      <c r="B29" s="30" t="s">
        <v>747</v>
      </c>
      <c r="C29" s="30" t="s">
        <v>141</v>
      </c>
      <c r="D29" s="13">
        <v>2000000</v>
      </c>
      <c r="E29" s="14">
        <v>2040.69</v>
      </c>
      <c r="F29" s="15">
        <v>2.7000000000000001E-3</v>
      </c>
      <c r="G29" s="15">
        <v>7.4242000000000002E-2</v>
      </c>
    </row>
    <row r="30" spans="1:7" x14ac:dyDescent="0.35">
      <c r="A30" s="12" t="s">
        <v>748</v>
      </c>
      <c r="B30" s="30" t="s">
        <v>749</v>
      </c>
      <c r="C30" s="30" t="s">
        <v>141</v>
      </c>
      <c r="D30" s="13">
        <v>1500000</v>
      </c>
      <c r="E30" s="14">
        <v>1437.86</v>
      </c>
      <c r="F30" s="15">
        <v>1.9E-3</v>
      </c>
      <c r="G30" s="15">
        <v>7.5047000000000003E-2</v>
      </c>
    </row>
    <row r="31" spans="1:7" x14ac:dyDescent="0.35">
      <c r="A31" s="12" t="s">
        <v>750</v>
      </c>
      <c r="B31" s="30" t="s">
        <v>751</v>
      </c>
      <c r="C31" s="30" t="s">
        <v>148</v>
      </c>
      <c r="D31" s="13">
        <v>1109000</v>
      </c>
      <c r="E31" s="14">
        <v>1153.33</v>
      </c>
      <c r="F31" s="15">
        <v>1.5E-3</v>
      </c>
      <c r="G31" s="15">
        <v>7.4099999999999999E-2</v>
      </c>
    </row>
    <row r="32" spans="1:7" x14ac:dyDescent="0.35">
      <c r="A32" s="12" t="s">
        <v>752</v>
      </c>
      <c r="B32" s="30" t="s">
        <v>753</v>
      </c>
      <c r="C32" s="30" t="s">
        <v>148</v>
      </c>
      <c r="D32" s="13">
        <v>1000000</v>
      </c>
      <c r="E32" s="14">
        <v>1038</v>
      </c>
      <c r="F32" s="15">
        <v>1.4E-3</v>
      </c>
      <c r="G32" s="15">
        <v>7.4099999999999999E-2</v>
      </c>
    </row>
    <row r="33" spans="1:7" x14ac:dyDescent="0.35">
      <c r="A33" s="12" t="s">
        <v>754</v>
      </c>
      <c r="B33" s="30" t="s">
        <v>755</v>
      </c>
      <c r="C33" s="30" t="s">
        <v>141</v>
      </c>
      <c r="D33" s="13">
        <v>500000</v>
      </c>
      <c r="E33" s="14">
        <v>523.98</v>
      </c>
      <c r="F33" s="15">
        <v>6.9999999999999999E-4</v>
      </c>
      <c r="G33" s="15">
        <v>7.4700000000000003E-2</v>
      </c>
    </row>
    <row r="34" spans="1:7" x14ac:dyDescent="0.35">
      <c r="A34" s="12" t="s">
        <v>756</v>
      </c>
      <c r="B34" s="30" t="s">
        <v>757</v>
      </c>
      <c r="C34" s="30" t="s">
        <v>141</v>
      </c>
      <c r="D34" s="13">
        <v>500000</v>
      </c>
      <c r="E34" s="14">
        <v>473.05</v>
      </c>
      <c r="F34" s="15">
        <v>5.9999999999999995E-4</v>
      </c>
      <c r="G34" s="15">
        <v>7.5300000000000006E-2</v>
      </c>
    </row>
    <row r="35" spans="1:7" x14ac:dyDescent="0.35">
      <c r="A35" s="16" t="s">
        <v>102</v>
      </c>
      <c r="B35" s="31"/>
      <c r="C35" s="31"/>
      <c r="D35" s="17"/>
      <c r="E35" s="18">
        <v>308818.09000000003</v>
      </c>
      <c r="F35" s="19">
        <v>0.41189999999999999</v>
      </c>
      <c r="G35" s="20"/>
    </row>
    <row r="36" spans="1:7" x14ac:dyDescent="0.35">
      <c r="A36" s="12"/>
      <c r="B36" s="30"/>
      <c r="C36" s="30"/>
      <c r="D36" s="13"/>
      <c r="E36" s="14"/>
      <c r="F36" s="15"/>
      <c r="G36" s="15"/>
    </row>
    <row r="37" spans="1:7" x14ac:dyDescent="0.35">
      <c r="A37" s="16" t="s">
        <v>403</v>
      </c>
      <c r="B37" s="30"/>
      <c r="C37" s="30"/>
      <c r="D37" s="13"/>
      <c r="E37" s="14"/>
      <c r="F37" s="15"/>
      <c r="G37" s="15"/>
    </row>
    <row r="38" spans="1:7" x14ac:dyDescent="0.35">
      <c r="A38" s="12" t="s">
        <v>758</v>
      </c>
      <c r="B38" s="30" t="s">
        <v>759</v>
      </c>
      <c r="C38" s="30" t="s">
        <v>101</v>
      </c>
      <c r="D38" s="13">
        <v>19000000</v>
      </c>
      <c r="E38" s="14">
        <v>18043.37</v>
      </c>
      <c r="F38" s="15">
        <v>2.41E-2</v>
      </c>
      <c r="G38" s="15">
        <v>7.3070999999999997E-2</v>
      </c>
    </row>
    <row r="39" spans="1:7" x14ac:dyDescent="0.35">
      <c r="A39" s="16" t="s">
        <v>102</v>
      </c>
      <c r="B39" s="31"/>
      <c r="C39" s="31"/>
      <c r="D39" s="17"/>
      <c r="E39" s="18">
        <v>18043.37</v>
      </c>
      <c r="F39" s="19">
        <v>2.41E-2</v>
      </c>
      <c r="G39" s="20"/>
    </row>
    <row r="40" spans="1:7" x14ac:dyDescent="0.35">
      <c r="A40" s="16" t="s">
        <v>526</v>
      </c>
      <c r="B40" s="30"/>
      <c r="C40" s="30"/>
      <c r="D40" s="13"/>
      <c r="E40" s="14"/>
      <c r="F40" s="15"/>
      <c r="G40" s="15"/>
    </row>
    <row r="41" spans="1:7" x14ac:dyDescent="0.35">
      <c r="A41" s="12" t="s">
        <v>760</v>
      </c>
      <c r="B41" s="30" t="s">
        <v>761</v>
      </c>
      <c r="C41" s="30" t="s">
        <v>101</v>
      </c>
      <c r="D41" s="13">
        <v>30000000</v>
      </c>
      <c r="E41" s="14">
        <v>28882.29</v>
      </c>
      <c r="F41" s="15">
        <v>3.85E-2</v>
      </c>
      <c r="G41" s="15">
        <v>7.4329999999999993E-2</v>
      </c>
    </row>
    <row r="42" spans="1:7" x14ac:dyDescent="0.35">
      <c r="A42" s="12" t="s">
        <v>762</v>
      </c>
      <c r="B42" s="30" t="s">
        <v>763</v>
      </c>
      <c r="C42" s="30" t="s">
        <v>101</v>
      </c>
      <c r="D42" s="13">
        <v>25000000</v>
      </c>
      <c r="E42" s="14">
        <v>25647.599999999999</v>
      </c>
      <c r="F42" s="15">
        <v>3.4200000000000001E-2</v>
      </c>
      <c r="G42" s="15">
        <v>7.4581999999999996E-2</v>
      </c>
    </row>
    <row r="43" spans="1:7" x14ac:dyDescent="0.35">
      <c r="A43" s="12" t="s">
        <v>764</v>
      </c>
      <c r="B43" s="30" t="s">
        <v>765</v>
      </c>
      <c r="C43" s="30" t="s">
        <v>101</v>
      </c>
      <c r="D43" s="13">
        <v>24500000</v>
      </c>
      <c r="E43" s="14">
        <v>25224.81</v>
      </c>
      <c r="F43" s="15">
        <v>3.3599999999999998E-2</v>
      </c>
      <c r="G43" s="15">
        <v>7.4977000000000002E-2</v>
      </c>
    </row>
    <row r="44" spans="1:7" x14ac:dyDescent="0.35">
      <c r="A44" s="12" t="s">
        <v>766</v>
      </c>
      <c r="B44" s="30" t="s">
        <v>767</v>
      </c>
      <c r="C44" s="30" t="s">
        <v>101</v>
      </c>
      <c r="D44" s="13">
        <v>24000000</v>
      </c>
      <c r="E44" s="14">
        <v>24729.17</v>
      </c>
      <c r="F44" s="15">
        <v>3.3000000000000002E-2</v>
      </c>
      <c r="G44" s="15">
        <v>7.4643000000000001E-2</v>
      </c>
    </row>
    <row r="45" spans="1:7" x14ac:dyDescent="0.35">
      <c r="A45" s="12" t="s">
        <v>768</v>
      </c>
      <c r="B45" s="30" t="s">
        <v>769</v>
      </c>
      <c r="C45" s="30" t="s">
        <v>101</v>
      </c>
      <c r="D45" s="13">
        <v>18500000</v>
      </c>
      <c r="E45" s="14">
        <v>19144.189999999999</v>
      </c>
      <c r="F45" s="15">
        <v>2.5499999999999998E-2</v>
      </c>
      <c r="G45" s="15">
        <v>7.4582999999999997E-2</v>
      </c>
    </row>
    <row r="46" spans="1:7" x14ac:dyDescent="0.35">
      <c r="A46" s="12" t="s">
        <v>770</v>
      </c>
      <c r="B46" s="30" t="s">
        <v>771</v>
      </c>
      <c r="C46" s="30" t="s">
        <v>101</v>
      </c>
      <c r="D46" s="13">
        <v>17500000</v>
      </c>
      <c r="E46" s="14">
        <v>17885.47</v>
      </c>
      <c r="F46" s="15">
        <v>2.3900000000000001E-2</v>
      </c>
      <c r="G46" s="15">
        <v>7.5064000000000006E-2</v>
      </c>
    </row>
    <row r="47" spans="1:7" x14ac:dyDescent="0.35">
      <c r="A47" s="12" t="s">
        <v>772</v>
      </c>
      <c r="B47" s="30" t="s">
        <v>773</v>
      </c>
      <c r="C47" s="30" t="s">
        <v>101</v>
      </c>
      <c r="D47" s="13">
        <v>16500000</v>
      </c>
      <c r="E47" s="14">
        <v>17007.41</v>
      </c>
      <c r="F47" s="15">
        <v>2.2700000000000001E-2</v>
      </c>
      <c r="G47" s="15">
        <v>7.4715000000000004E-2</v>
      </c>
    </row>
    <row r="48" spans="1:7" x14ac:dyDescent="0.35">
      <c r="A48" s="12" t="s">
        <v>774</v>
      </c>
      <c r="B48" s="30" t="s">
        <v>775</v>
      </c>
      <c r="C48" s="30" t="s">
        <v>101</v>
      </c>
      <c r="D48" s="13">
        <v>15500000</v>
      </c>
      <c r="E48" s="14">
        <v>16051.85</v>
      </c>
      <c r="F48" s="15">
        <v>2.1399999999999999E-2</v>
      </c>
      <c r="G48" s="15">
        <v>7.5197E-2</v>
      </c>
    </row>
    <row r="49" spans="1:7" x14ac:dyDescent="0.35">
      <c r="A49" s="12" t="s">
        <v>776</v>
      </c>
      <c r="B49" s="30" t="s">
        <v>777</v>
      </c>
      <c r="C49" s="30" t="s">
        <v>101</v>
      </c>
      <c r="D49" s="13">
        <v>15500000</v>
      </c>
      <c r="E49" s="14">
        <v>15895.62</v>
      </c>
      <c r="F49" s="15">
        <v>2.12E-2</v>
      </c>
      <c r="G49" s="15">
        <v>7.4714000000000003E-2</v>
      </c>
    </row>
    <row r="50" spans="1:7" x14ac:dyDescent="0.35">
      <c r="A50" s="12" t="s">
        <v>778</v>
      </c>
      <c r="B50" s="30" t="s">
        <v>779</v>
      </c>
      <c r="C50" s="30" t="s">
        <v>101</v>
      </c>
      <c r="D50" s="13">
        <v>14500000</v>
      </c>
      <c r="E50" s="14">
        <v>14954.53</v>
      </c>
      <c r="F50" s="15">
        <v>1.9900000000000001E-2</v>
      </c>
      <c r="G50" s="15">
        <v>7.4907000000000001E-2</v>
      </c>
    </row>
    <row r="51" spans="1:7" x14ac:dyDescent="0.35">
      <c r="A51" s="12" t="s">
        <v>780</v>
      </c>
      <c r="B51" s="30" t="s">
        <v>781</v>
      </c>
      <c r="C51" s="30" t="s">
        <v>101</v>
      </c>
      <c r="D51" s="13">
        <v>13500000</v>
      </c>
      <c r="E51" s="14">
        <v>13821.17</v>
      </c>
      <c r="F51" s="15">
        <v>1.84E-2</v>
      </c>
      <c r="G51" s="15">
        <v>7.4581999999999996E-2</v>
      </c>
    </row>
    <row r="52" spans="1:7" x14ac:dyDescent="0.35">
      <c r="A52" s="12" t="s">
        <v>782</v>
      </c>
      <c r="B52" s="30" t="s">
        <v>783</v>
      </c>
      <c r="C52" s="30" t="s">
        <v>101</v>
      </c>
      <c r="D52" s="13">
        <v>11500000</v>
      </c>
      <c r="E52" s="14">
        <v>11817.62</v>
      </c>
      <c r="F52" s="15">
        <v>1.5800000000000002E-2</v>
      </c>
      <c r="G52" s="15">
        <v>7.5064000000000006E-2</v>
      </c>
    </row>
    <row r="53" spans="1:7" x14ac:dyDescent="0.35">
      <c r="A53" s="12" t="s">
        <v>784</v>
      </c>
      <c r="B53" s="30" t="s">
        <v>785</v>
      </c>
      <c r="C53" s="30" t="s">
        <v>101</v>
      </c>
      <c r="D53" s="13">
        <v>11500000</v>
      </c>
      <c r="E53" s="14">
        <v>11784.11</v>
      </c>
      <c r="F53" s="15">
        <v>1.5699999999999999E-2</v>
      </c>
      <c r="G53" s="15">
        <v>7.5096999999999997E-2</v>
      </c>
    </row>
    <row r="54" spans="1:7" x14ac:dyDescent="0.35">
      <c r="A54" s="12" t="s">
        <v>786</v>
      </c>
      <c r="B54" s="30" t="s">
        <v>787</v>
      </c>
      <c r="C54" s="30" t="s">
        <v>101</v>
      </c>
      <c r="D54" s="13">
        <v>10500000</v>
      </c>
      <c r="E54" s="14">
        <v>10916.84</v>
      </c>
      <c r="F54" s="15">
        <v>1.46E-2</v>
      </c>
      <c r="G54" s="15">
        <v>7.4981999999999993E-2</v>
      </c>
    </row>
    <row r="55" spans="1:7" x14ac:dyDescent="0.35">
      <c r="A55" s="12" t="s">
        <v>788</v>
      </c>
      <c r="B55" s="30" t="s">
        <v>789</v>
      </c>
      <c r="C55" s="30" t="s">
        <v>101</v>
      </c>
      <c r="D55" s="13">
        <v>10500000</v>
      </c>
      <c r="E55" s="14">
        <v>10836.14</v>
      </c>
      <c r="F55" s="15">
        <v>1.4500000000000001E-2</v>
      </c>
      <c r="G55" s="15">
        <v>7.4977000000000002E-2</v>
      </c>
    </row>
    <row r="56" spans="1:7" x14ac:dyDescent="0.35">
      <c r="A56" s="12" t="s">
        <v>790</v>
      </c>
      <c r="B56" s="30" t="s">
        <v>791</v>
      </c>
      <c r="C56" s="30" t="s">
        <v>101</v>
      </c>
      <c r="D56" s="13">
        <v>9500000</v>
      </c>
      <c r="E56" s="14">
        <v>9731.11</v>
      </c>
      <c r="F56" s="15">
        <v>1.2999999999999999E-2</v>
      </c>
      <c r="G56" s="15">
        <v>7.5229000000000004E-2</v>
      </c>
    </row>
    <row r="57" spans="1:7" x14ac:dyDescent="0.35">
      <c r="A57" s="12" t="s">
        <v>792</v>
      </c>
      <c r="B57" s="30" t="s">
        <v>793</v>
      </c>
      <c r="C57" s="30" t="s">
        <v>101</v>
      </c>
      <c r="D57" s="13">
        <v>9000000</v>
      </c>
      <c r="E57" s="14">
        <v>9259.6299999999992</v>
      </c>
      <c r="F57" s="15">
        <v>1.24E-2</v>
      </c>
      <c r="G57" s="15">
        <v>7.4739E-2</v>
      </c>
    </row>
    <row r="58" spans="1:7" x14ac:dyDescent="0.35">
      <c r="A58" s="12" t="s">
        <v>794</v>
      </c>
      <c r="B58" s="30" t="s">
        <v>795</v>
      </c>
      <c r="C58" s="30" t="s">
        <v>101</v>
      </c>
      <c r="D58" s="13">
        <v>9000000</v>
      </c>
      <c r="E58" s="14">
        <v>9227.86</v>
      </c>
      <c r="F58" s="15">
        <v>1.23E-2</v>
      </c>
      <c r="G58" s="15">
        <v>7.4981999999999993E-2</v>
      </c>
    </row>
    <row r="59" spans="1:7" x14ac:dyDescent="0.35">
      <c r="A59" s="12" t="s">
        <v>796</v>
      </c>
      <c r="B59" s="30" t="s">
        <v>797</v>
      </c>
      <c r="C59" s="30" t="s">
        <v>101</v>
      </c>
      <c r="D59" s="13">
        <v>8000000</v>
      </c>
      <c r="E59" s="14">
        <v>8277.14</v>
      </c>
      <c r="F59" s="15">
        <v>1.0999999999999999E-2</v>
      </c>
      <c r="G59" s="15">
        <v>7.4643000000000001E-2</v>
      </c>
    </row>
    <row r="60" spans="1:7" x14ac:dyDescent="0.35">
      <c r="A60" s="12" t="s">
        <v>798</v>
      </c>
      <c r="B60" s="30" t="s">
        <v>799</v>
      </c>
      <c r="C60" s="30" t="s">
        <v>101</v>
      </c>
      <c r="D60" s="13">
        <v>7500000</v>
      </c>
      <c r="E60" s="14">
        <v>7666.44</v>
      </c>
      <c r="F60" s="15">
        <v>1.0200000000000001E-2</v>
      </c>
      <c r="G60" s="15">
        <v>7.4907000000000001E-2</v>
      </c>
    </row>
    <row r="61" spans="1:7" x14ac:dyDescent="0.35">
      <c r="A61" s="12" t="s">
        <v>800</v>
      </c>
      <c r="B61" s="30" t="s">
        <v>801</v>
      </c>
      <c r="C61" s="30" t="s">
        <v>101</v>
      </c>
      <c r="D61" s="13">
        <v>7500000</v>
      </c>
      <c r="E61" s="14">
        <v>7662.35</v>
      </c>
      <c r="F61" s="15">
        <v>1.0200000000000001E-2</v>
      </c>
      <c r="G61" s="15">
        <v>7.5198000000000001E-2</v>
      </c>
    </row>
    <row r="62" spans="1:7" x14ac:dyDescent="0.35">
      <c r="A62" s="12" t="s">
        <v>802</v>
      </c>
      <c r="B62" s="30" t="s">
        <v>803</v>
      </c>
      <c r="C62" s="30" t="s">
        <v>101</v>
      </c>
      <c r="D62" s="13">
        <v>7219500</v>
      </c>
      <c r="E62" s="14">
        <v>7334.12</v>
      </c>
      <c r="F62" s="15">
        <v>9.7999999999999997E-3</v>
      </c>
      <c r="G62" s="15">
        <v>7.4706999999999996E-2</v>
      </c>
    </row>
    <row r="63" spans="1:7" x14ac:dyDescent="0.35">
      <c r="A63" s="12" t="s">
        <v>804</v>
      </c>
      <c r="B63" s="30" t="s">
        <v>805</v>
      </c>
      <c r="C63" s="30" t="s">
        <v>101</v>
      </c>
      <c r="D63" s="13">
        <v>7000000</v>
      </c>
      <c r="E63" s="14">
        <v>7217.85</v>
      </c>
      <c r="F63" s="15">
        <v>9.5999999999999992E-3</v>
      </c>
      <c r="G63" s="15">
        <v>7.4981999999999993E-2</v>
      </c>
    </row>
    <row r="64" spans="1:7" x14ac:dyDescent="0.35">
      <c r="A64" s="12" t="s">
        <v>806</v>
      </c>
      <c r="B64" s="30" t="s">
        <v>807</v>
      </c>
      <c r="C64" s="30" t="s">
        <v>101</v>
      </c>
      <c r="D64" s="13">
        <v>7000000</v>
      </c>
      <c r="E64" s="14">
        <v>7158.73</v>
      </c>
      <c r="F64" s="15">
        <v>9.4999999999999998E-3</v>
      </c>
      <c r="G64" s="15">
        <v>7.5229000000000004E-2</v>
      </c>
    </row>
    <row r="65" spans="1:7" x14ac:dyDescent="0.35">
      <c r="A65" s="12" t="s">
        <v>808</v>
      </c>
      <c r="B65" s="30" t="s">
        <v>809</v>
      </c>
      <c r="C65" s="30" t="s">
        <v>101</v>
      </c>
      <c r="D65" s="13">
        <v>6500000</v>
      </c>
      <c r="E65" s="14">
        <v>6743.93</v>
      </c>
      <c r="F65" s="15">
        <v>8.9999999999999993E-3</v>
      </c>
      <c r="G65" s="15">
        <v>7.5229000000000004E-2</v>
      </c>
    </row>
    <row r="66" spans="1:7" x14ac:dyDescent="0.35">
      <c r="A66" s="12" t="s">
        <v>810</v>
      </c>
      <c r="B66" s="30" t="s">
        <v>811</v>
      </c>
      <c r="C66" s="30" t="s">
        <v>101</v>
      </c>
      <c r="D66" s="13">
        <v>6000000</v>
      </c>
      <c r="E66" s="14">
        <v>6171.39</v>
      </c>
      <c r="F66" s="15">
        <v>8.2000000000000007E-3</v>
      </c>
      <c r="G66" s="15">
        <v>7.5229000000000004E-2</v>
      </c>
    </row>
    <row r="67" spans="1:7" x14ac:dyDescent="0.35">
      <c r="A67" s="12" t="s">
        <v>812</v>
      </c>
      <c r="B67" s="30" t="s">
        <v>813</v>
      </c>
      <c r="C67" s="30" t="s">
        <v>101</v>
      </c>
      <c r="D67" s="13">
        <v>5500000</v>
      </c>
      <c r="E67" s="14">
        <v>5657.91</v>
      </c>
      <c r="F67" s="15">
        <v>7.4999999999999997E-3</v>
      </c>
      <c r="G67" s="15">
        <v>7.4982999999999994E-2</v>
      </c>
    </row>
    <row r="68" spans="1:7" x14ac:dyDescent="0.35">
      <c r="A68" s="12" t="s">
        <v>814</v>
      </c>
      <c r="B68" s="30" t="s">
        <v>815</v>
      </c>
      <c r="C68" s="30" t="s">
        <v>101</v>
      </c>
      <c r="D68" s="13">
        <v>5000000</v>
      </c>
      <c r="E68" s="14">
        <v>5176.53</v>
      </c>
      <c r="F68" s="15">
        <v>6.8999999999999999E-3</v>
      </c>
      <c r="G68" s="15">
        <v>7.4907000000000001E-2</v>
      </c>
    </row>
    <row r="69" spans="1:7" x14ac:dyDescent="0.35">
      <c r="A69" s="12" t="s">
        <v>816</v>
      </c>
      <c r="B69" s="30" t="s">
        <v>817</v>
      </c>
      <c r="C69" s="30" t="s">
        <v>101</v>
      </c>
      <c r="D69" s="13">
        <v>4500000</v>
      </c>
      <c r="E69" s="14">
        <v>4670.93</v>
      </c>
      <c r="F69" s="15">
        <v>6.1999999999999998E-3</v>
      </c>
      <c r="G69" s="15">
        <v>7.4977000000000002E-2</v>
      </c>
    </row>
    <row r="70" spans="1:7" x14ac:dyDescent="0.35">
      <c r="A70" s="12" t="s">
        <v>818</v>
      </c>
      <c r="B70" s="30" t="s">
        <v>819</v>
      </c>
      <c r="C70" s="30" t="s">
        <v>101</v>
      </c>
      <c r="D70" s="13">
        <v>4000000</v>
      </c>
      <c r="E70" s="14">
        <v>4100.6499999999996</v>
      </c>
      <c r="F70" s="15">
        <v>5.4999999999999997E-3</v>
      </c>
      <c r="G70" s="15">
        <v>7.4643000000000001E-2</v>
      </c>
    </row>
    <row r="71" spans="1:7" x14ac:dyDescent="0.35">
      <c r="A71" s="12" t="s">
        <v>820</v>
      </c>
      <c r="B71" s="30" t="s">
        <v>821</v>
      </c>
      <c r="C71" s="30" t="s">
        <v>101</v>
      </c>
      <c r="D71" s="13">
        <v>3500000</v>
      </c>
      <c r="E71" s="14">
        <v>3606.04</v>
      </c>
      <c r="F71" s="15">
        <v>4.7999999999999996E-3</v>
      </c>
      <c r="G71" s="15">
        <v>7.5063000000000005E-2</v>
      </c>
    </row>
    <row r="72" spans="1:7" x14ac:dyDescent="0.35">
      <c r="A72" s="12" t="s">
        <v>822</v>
      </c>
      <c r="B72" s="30" t="s">
        <v>823</v>
      </c>
      <c r="C72" s="30" t="s">
        <v>101</v>
      </c>
      <c r="D72" s="13">
        <v>3500000</v>
      </c>
      <c r="E72" s="14">
        <v>3578.88</v>
      </c>
      <c r="F72" s="15">
        <v>4.7999999999999996E-3</v>
      </c>
      <c r="G72" s="15">
        <v>7.4981999999999993E-2</v>
      </c>
    </row>
    <row r="73" spans="1:7" x14ac:dyDescent="0.35">
      <c r="A73" s="12" t="s">
        <v>824</v>
      </c>
      <c r="B73" s="30" t="s">
        <v>825</v>
      </c>
      <c r="C73" s="30" t="s">
        <v>101</v>
      </c>
      <c r="D73" s="13">
        <v>3000000</v>
      </c>
      <c r="E73" s="14">
        <v>3104.99</v>
      </c>
      <c r="F73" s="15">
        <v>4.1000000000000003E-3</v>
      </c>
      <c r="G73" s="15">
        <v>7.4718999999999994E-2</v>
      </c>
    </row>
    <row r="74" spans="1:7" x14ac:dyDescent="0.35">
      <c r="A74" s="12" t="s">
        <v>826</v>
      </c>
      <c r="B74" s="30" t="s">
        <v>827</v>
      </c>
      <c r="C74" s="30" t="s">
        <v>101</v>
      </c>
      <c r="D74" s="13">
        <v>3000000</v>
      </c>
      <c r="E74" s="14">
        <v>3085.67</v>
      </c>
      <c r="F74" s="15">
        <v>4.1000000000000003E-3</v>
      </c>
      <c r="G74" s="15">
        <v>7.4643000000000001E-2</v>
      </c>
    </row>
    <row r="75" spans="1:7" x14ac:dyDescent="0.35">
      <c r="A75" s="12" t="s">
        <v>828</v>
      </c>
      <c r="B75" s="30" t="s">
        <v>829</v>
      </c>
      <c r="C75" s="30" t="s">
        <v>101</v>
      </c>
      <c r="D75" s="13">
        <v>3000000</v>
      </c>
      <c r="E75" s="14">
        <v>3073.56</v>
      </c>
      <c r="F75" s="15">
        <v>4.1000000000000003E-3</v>
      </c>
      <c r="G75" s="15">
        <v>7.5064000000000006E-2</v>
      </c>
    </row>
    <row r="76" spans="1:7" x14ac:dyDescent="0.35">
      <c r="A76" s="12" t="s">
        <v>830</v>
      </c>
      <c r="B76" s="30" t="s">
        <v>831</v>
      </c>
      <c r="C76" s="30" t="s">
        <v>101</v>
      </c>
      <c r="D76" s="13">
        <v>2500000</v>
      </c>
      <c r="E76" s="14">
        <v>2528.4</v>
      </c>
      <c r="F76" s="15">
        <v>3.3999999999999998E-3</v>
      </c>
      <c r="G76" s="15">
        <v>7.5160000000000005E-2</v>
      </c>
    </row>
    <row r="77" spans="1:7" x14ac:dyDescent="0.35">
      <c r="A77" s="12" t="s">
        <v>832</v>
      </c>
      <c r="B77" s="30" t="s">
        <v>833</v>
      </c>
      <c r="C77" s="30" t="s">
        <v>101</v>
      </c>
      <c r="D77" s="13">
        <v>2000000</v>
      </c>
      <c r="E77" s="14">
        <v>2050.5100000000002</v>
      </c>
      <c r="F77" s="15">
        <v>2.7000000000000001E-3</v>
      </c>
      <c r="G77" s="15">
        <v>7.4907000000000001E-2</v>
      </c>
    </row>
    <row r="78" spans="1:7" x14ac:dyDescent="0.35">
      <c r="A78" s="12" t="s">
        <v>834</v>
      </c>
      <c r="B78" s="30" t="s">
        <v>835</v>
      </c>
      <c r="C78" s="30" t="s">
        <v>101</v>
      </c>
      <c r="D78" s="13">
        <v>2000000</v>
      </c>
      <c r="E78" s="14">
        <v>2044.36</v>
      </c>
      <c r="F78" s="15">
        <v>2.7000000000000001E-3</v>
      </c>
      <c r="G78" s="15">
        <v>7.4714000000000003E-2</v>
      </c>
    </row>
    <row r="79" spans="1:7" x14ac:dyDescent="0.35">
      <c r="A79" s="12" t="s">
        <v>836</v>
      </c>
      <c r="B79" s="30" t="s">
        <v>837</v>
      </c>
      <c r="C79" s="30" t="s">
        <v>101</v>
      </c>
      <c r="D79" s="13">
        <v>2000000</v>
      </c>
      <c r="E79" s="14">
        <v>2043.64</v>
      </c>
      <c r="F79" s="15">
        <v>2.7000000000000001E-3</v>
      </c>
      <c r="G79" s="15">
        <v>7.4643000000000001E-2</v>
      </c>
    </row>
    <row r="80" spans="1:7" x14ac:dyDescent="0.35">
      <c r="A80" s="12" t="s">
        <v>838</v>
      </c>
      <c r="B80" s="30" t="s">
        <v>839</v>
      </c>
      <c r="C80" s="30" t="s">
        <v>101</v>
      </c>
      <c r="D80" s="13">
        <v>1500000</v>
      </c>
      <c r="E80" s="14">
        <v>1533.83</v>
      </c>
      <c r="F80" s="15">
        <v>2E-3</v>
      </c>
      <c r="G80" s="15">
        <v>7.4581999999999996E-2</v>
      </c>
    </row>
    <row r="81" spans="1:7" x14ac:dyDescent="0.35">
      <c r="A81" s="12" t="s">
        <v>840</v>
      </c>
      <c r="B81" s="30" t="s">
        <v>841</v>
      </c>
      <c r="C81" s="30" t="s">
        <v>101</v>
      </c>
      <c r="D81" s="13">
        <v>1000000</v>
      </c>
      <c r="E81" s="14">
        <v>1028.31</v>
      </c>
      <c r="F81" s="15">
        <v>1.4E-3</v>
      </c>
      <c r="G81" s="15">
        <v>7.4630000000000002E-2</v>
      </c>
    </row>
    <row r="82" spans="1:7" x14ac:dyDescent="0.35">
      <c r="A82" s="12" t="s">
        <v>842</v>
      </c>
      <c r="B82" s="30" t="s">
        <v>843</v>
      </c>
      <c r="C82" s="30" t="s">
        <v>101</v>
      </c>
      <c r="D82" s="13">
        <v>500000</v>
      </c>
      <c r="E82" s="14">
        <v>508.92</v>
      </c>
      <c r="F82" s="15">
        <v>6.9999999999999999E-4</v>
      </c>
      <c r="G82" s="15">
        <v>7.4806999999999998E-2</v>
      </c>
    </row>
    <row r="83" spans="1:7" x14ac:dyDescent="0.35">
      <c r="A83" s="12" t="s">
        <v>844</v>
      </c>
      <c r="B83" s="30" t="s">
        <v>845</v>
      </c>
      <c r="C83" s="30" t="s">
        <v>101</v>
      </c>
      <c r="D83" s="13">
        <v>500000</v>
      </c>
      <c r="E83" s="14">
        <v>508.69</v>
      </c>
      <c r="F83" s="15">
        <v>6.9999999999999999E-4</v>
      </c>
      <c r="G83" s="15">
        <v>7.4963000000000002E-2</v>
      </c>
    </row>
    <row r="84" spans="1:7" x14ac:dyDescent="0.35">
      <c r="A84" s="12" t="s">
        <v>846</v>
      </c>
      <c r="B84" s="30" t="s">
        <v>847</v>
      </c>
      <c r="C84" s="30" t="s">
        <v>101</v>
      </c>
      <c r="D84" s="13">
        <v>500000</v>
      </c>
      <c r="E84" s="14">
        <v>507.43</v>
      </c>
      <c r="F84" s="15">
        <v>6.9999999999999999E-4</v>
      </c>
      <c r="G84" s="15">
        <v>7.4679999999999996E-2</v>
      </c>
    </row>
    <row r="85" spans="1:7" x14ac:dyDescent="0.35">
      <c r="A85" s="12" t="s">
        <v>848</v>
      </c>
      <c r="B85" s="30" t="s">
        <v>849</v>
      </c>
      <c r="C85" s="30" t="s">
        <v>101</v>
      </c>
      <c r="D85" s="13">
        <v>500000</v>
      </c>
      <c r="E85" s="14">
        <v>507.39</v>
      </c>
      <c r="F85" s="15">
        <v>6.9999999999999999E-4</v>
      </c>
      <c r="G85" s="15">
        <v>7.4706999999999996E-2</v>
      </c>
    </row>
    <row r="86" spans="1:7" x14ac:dyDescent="0.35">
      <c r="A86" s="12" t="s">
        <v>850</v>
      </c>
      <c r="B86" s="30" t="s">
        <v>851</v>
      </c>
      <c r="C86" s="30" t="s">
        <v>101</v>
      </c>
      <c r="D86" s="13">
        <v>500000</v>
      </c>
      <c r="E86" s="14">
        <v>488.48</v>
      </c>
      <c r="F86" s="15">
        <v>6.9999999999999999E-4</v>
      </c>
      <c r="G86" s="15">
        <v>7.4643000000000001E-2</v>
      </c>
    </row>
    <row r="87" spans="1:7" x14ac:dyDescent="0.35">
      <c r="A87" s="16" t="s">
        <v>102</v>
      </c>
      <c r="B87" s="31"/>
      <c r="C87" s="31"/>
      <c r="D87" s="17"/>
      <c r="E87" s="18">
        <v>400854.49</v>
      </c>
      <c r="F87" s="19">
        <v>0.53449999999999998</v>
      </c>
      <c r="G87" s="20"/>
    </row>
    <row r="88" spans="1:7" x14ac:dyDescent="0.35">
      <c r="A88" s="12"/>
      <c r="B88" s="30"/>
      <c r="C88" s="30"/>
      <c r="D88" s="13"/>
      <c r="E88" s="14"/>
      <c r="F88" s="15"/>
      <c r="G88" s="15"/>
    </row>
    <row r="89" spans="1:7" x14ac:dyDescent="0.35">
      <c r="A89" s="12"/>
      <c r="B89" s="30"/>
      <c r="C89" s="30"/>
      <c r="D89" s="13"/>
      <c r="E89" s="14"/>
      <c r="F89" s="15"/>
      <c r="G89" s="15"/>
    </row>
    <row r="90" spans="1:7" x14ac:dyDescent="0.35">
      <c r="A90" s="16" t="s">
        <v>192</v>
      </c>
      <c r="B90" s="30"/>
      <c r="C90" s="30"/>
      <c r="D90" s="13"/>
      <c r="E90" s="14"/>
      <c r="F90" s="15"/>
      <c r="G90" s="15"/>
    </row>
    <row r="91" spans="1:7" x14ac:dyDescent="0.35">
      <c r="A91" s="16" t="s">
        <v>102</v>
      </c>
      <c r="B91" s="30"/>
      <c r="C91" s="30"/>
      <c r="D91" s="13"/>
      <c r="E91" s="35" t="s">
        <v>96</v>
      </c>
      <c r="F91" s="36" t="s">
        <v>96</v>
      </c>
      <c r="G91" s="15"/>
    </row>
    <row r="92" spans="1:7" x14ac:dyDescent="0.35">
      <c r="A92" s="12"/>
      <c r="B92" s="30"/>
      <c r="C92" s="30"/>
      <c r="D92" s="13"/>
      <c r="E92" s="14"/>
      <c r="F92" s="15"/>
      <c r="G92" s="15"/>
    </row>
    <row r="93" spans="1:7" x14ac:dyDescent="0.35">
      <c r="A93" s="16" t="s">
        <v>193</v>
      </c>
      <c r="B93" s="30"/>
      <c r="C93" s="30"/>
      <c r="D93" s="13"/>
      <c r="E93" s="14"/>
      <c r="F93" s="15"/>
      <c r="G93" s="15"/>
    </row>
    <row r="94" spans="1:7" x14ac:dyDescent="0.35">
      <c r="A94" s="16" t="s">
        <v>102</v>
      </c>
      <c r="B94" s="30"/>
      <c r="C94" s="30"/>
      <c r="D94" s="13"/>
      <c r="E94" s="35" t="s">
        <v>96</v>
      </c>
      <c r="F94" s="36" t="s">
        <v>96</v>
      </c>
      <c r="G94" s="15"/>
    </row>
    <row r="95" spans="1:7" x14ac:dyDescent="0.35">
      <c r="A95" s="12"/>
      <c r="B95" s="30"/>
      <c r="C95" s="30"/>
      <c r="D95" s="13"/>
      <c r="E95" s="14"/>
      <c r="F95" s="15"/>
      <c r="G95" s="15"/>
    </row>
    <row r="96" spans="1:7" x14ac:dyDescent="0.35">
      <c r="A96" s="21" t="s">
        <v>129</v>
      </c>
      <c r="B96" s="32"/>
      <c r="C96" s="32"/>
      <c r="D96" s="22"/>
      <c r="E96" s="18">
        <v>727715.95</v>
      </c>
      <c r="F96" s="19">
        <v>0.97050000000000003</v>
      </c>
      <c r="G96" s="20"/>
    </row>
    <row r="97" spans="1:7" x14ac:dyDescent="0.35">
      <c r="A97" s="12"/>
      <c r="B97" s="30"/>
      <c r="C97" s="30"/>
      <c r="D97" s="13"/>
      <c r="E97" s="14"/>
      <c r="F97" s="15"/>
      <c r="G97" s="15"/>
    </row>
    <row r="98" spans="1:7" x14ac:dyDescent="0.35">
      <c r="A98" s="12"/>
      <c r="B98" s="30"/>
      <c r="C98" s="30"/>
      <c r="D98" s="13"/>
      <c r="E98" s="14"/>
      <c r="F98" s="15"/>
      <c r="G98" s="15"/>
    </row>
    <row r="99" spans="1:7" x14ac:dyDescent="0.35">
      <c r="A99" s="16" t="s">
        <v>130</v>
      </c>
      <c r="B99" s="30"/>
      <c r="C99" s="30"/>
      <c r="D99" s="13"/>
      <c r="E99" s="14"/>
      <c r="F99" s="15"/>
      <c r="G99" s="15"/>
    </row>
    <row r="100" spans="1:7" x14ac:dyDescent="0.35">
      <c r="A100" s="12" t="s">
        <v>131</v>
      </c>
      <c r="B100" s="30"/>
      <c r="C100" s="30"/>
      <c r="D100" s="13"/>
      <c r="E100" s="14">
        <v>6030.99</v>
      </c>
      <c r="F100" s="15">
        <v>8.0000000000000002E-3</v>
      </c>
      <c r="G100" s="85">
        <v>6.1074000000000003E-2</v>
      </c>
    </row>
    <row r="101" spans="1:7" x14ac:dyDescent="0.35">
      <c r="A101" s="16" t="s">
        <v>102</v>
      </c>
      <c r="B101" s="31"/>
      <c r="C101" s="31"/>
      <c r="D101" s="17"/>
      <c r="E101" s="18">
        <v>6030.99</v>
      </c>
      <c r="F101" s="19">
        <v>8.0000000000000002E-3</v>
      </c>
      <c r="G101" s="86"/>
    </row>
    <row r="102" spans="1:7" x14ac:dyDescent="0.35">
      <c r="A102" s="12"/>
      <c r="B102" s="30"/>
      <c r="C102" s="30"/>
      <c r="D102" s="13"/>
      <c r="E102" s="14"/>
      <c r="F102" s="15"/>
      <c r="G102" s="85"/>
    </row>
    <row r="103" spans="1:7" x14ac:dyDescent="0.35">
      <c r="A103" s="21" t="s">
        <v>129</v>
      </c>
      <c r="B103" s="32"/>
      <c r="C103" s="32"/>
      <c r="D103" s="22"/>
      <c r="E103" s="18">
        <v>6030.99</v>
      </c>
      <c r="F103" s="19">
        <v>8.0000000000000002E-3</v>
      </c>
      <c r="G103" s="86"/>
    </row>
    <row r="104" spans="1:7" x14ac:dyDescent="0.35">
      <c r="A104" s="12" t="s">
        <v>132</v>
      </c>
      <c r="B104" s="30"/>
      <c r="C104" s="30"/>
      <c r="D104" s="13"/>
      <c r="E104" s="14">
        <v>16222.1410609</v>
      </c>
      <c r="F104" s="15">
        <v>2.164E-2</v>
      </c>
      <c r="G104" s="85"/>
    </row>
    <row r="105" spans="1:7" x14ac:dyDescent="0.35">
      <c r="A105" s="12" t="s">
        <v>133</v>
      </c>
      <c r="B105" s="30"/>
      <c r="C105" s="30"/>
      <c r="D105" s="13"/>
      <c r="E105" s="23">
        <v>-344.25106090000003</v>
      </c>
      <c r="F105" s="24">
        <v>-1.3999999999999999E-4</v>
      </c>
      <c r="G105" s="85">
        <v>6.1074000000000003E-2</v>
      </c>
    </row>
    <row r="106" spans="1:7" x14ac:dyDescent="0.35">
      <c r="A106" s="25" t="s">
        <v>134</v>
      </c>
      <c r="B106" s="33"/>
      <c r="C106" s="33"/>
      <c r="D106" s="26"/>
      <c r="E106" s="27">
        <v>749624.83</v>
      </c>
      <c r="F106" s="28">
        <v>1</v>
      </c>
      <c r="G106" s="28"/>
    </row>
    <row r="108" spans="1:7" x14ac:dyDescent="0.35">
      <c r="A108" s="1" t="s">
        <v>136</v>
      </c>
    </row>
    <row r="111" spans="1:7" x14ac:dyDescent="0.35">
      <c r="A111" s="1" t="s">
        <v>1981</v>
      </c>
    </row>
    <row r="112" spans="1:7" x14ac:dyDescent="0.35">
      <c r="A112" s="47" t="s">
        <v>1982</v>
      </c>
      <c r="B112" s="34" t="s">
        <v>96</v>
      </c>
    </row>
    <row r="113" spans="1:7" x14ac:dyDescent="0.35">
      <c r="A113" t="s">
        <v>1983</v>
      </c>
    </row>
    <row r="114" spans="1:7" x14ac:dyDescent="0.35">
      <c r="A114" t="s">
        <v>1984</v>
      </c>
      <c r="B114" t="s">
        <v>1985</v>
      </c>
      <c r="C114" t="s">
        <v>1985</v>
      </c>
    </row>
    <row r="115" spans="1:7" x14ac:dyDescent="0.35">
      <c r="B115" s="48">
        <v>44834</v>
      </c>
      <c r="C115" s="48">
        <v>44865</v>
      </c>
    </row>
    <row r="116" spans="1:7" x14ac:dyDescent="0.35">
      <c r="A116" t="s">
        <v>1989</v>
      </c>
      <c r="B116">
        <v>10.6745</v>
      </c>
      <c r="C116">
        <v>10.7285</v>
      </c>
      <c r="E116" s="2"/>
      <c r="G116"/>
    </row>
    <row r="117" spans="1:7" x14ac:dyDescent="0.35">
      <c r="A117" t="s">
        <v>1990</v>
      </c>
      <c r="B117">
        <v>10.675000000000001</v>
      </c>
      <c r="C117">
        <v>10.728999999999999</v>
      </c>
      <c r="E117" s="2"/>
      <c r="G117"/>
    </row>
    <row r="118" spans="1:7" x14ac:dyDescent="0.35">
      <c r="A118" t="s">
        <v>2014</v>
      </c>
      <c r="B118">
        <v>10.6485</v>
      </c>
      <c r="C118">
        <v>10.700799999999999</v>
      </c>
      <c r="E118" s="2"/>
      <c r="G118"/>
    </row>
    <row r="119" spans="1:7" x14ac:dyDescent="0.35">
      <c r="A119" t="s">
        <v>2015</v>
      </c>
      <c r="B119">
        <v>10.649100000000001</v>
      </c>
      <c r="C119">
        <v>10.701499999999999</v>
      </c>
      <c r="E119" s="2"/>
      <c r="G119"/>
    </row>
    <row r="120" spans="1:7" x14ac:dyDescent="0.35">
      <c r="E120" s="2"/>
      <c r="G120"/>
    </row>
    <row r="121" spans="1:7" x14ac:dyDescent="0.35">
      <c r="A121" t="s">
        <v>2000</v>
      </c>
      <c r="B121" s="34" t="s">
        <v>96</v>
      </c>
    </row>
    <row r="122" spans="1:7" x14ac:dyDescent="0.35">
      <c r="A122" t="s">
        <v>2001</v>
      </c>
      <c r="B122" s="34" t="s">
        <v>96</v>
      </c>
    </row>
    <row r="123" spans="1:7" ht="29" x14ac:dyDescent="0.35">
      <c r="A123" s="47" t="s">
        <v>2002</v>
      </c>
      <c r="B123" s="34" t="s">
        <v>96</v>
      </c>
    </row>
    <row r="124" spans="1:7" ht="29" x14ac:dyDescent="0.35">
      <c r="A124" s="47" t="s">
        <v>2003</v>
      </c>
      <c r="B124" s="34" t="s">
        <v>96</v>
      </c>
    </row>
    <row r="125" spans="1:7" x14ac:dyDescent="0.35">
      <c r="A125" t="s">
        <v>2004</v>
      </c>
      <c r="B125" s="49">
        <v>3.2698711636083702</v>
      </c>
    </row>
    <row r="126" spans="1:7" ht="43.5" x14ac:dyDescent="0.35">
      <c r="A126" s="47" t="s">
        <v>2005</v>
      </c>
      <c r="B126" s="34" t="s">
        <v>96</v>
      </c>
    </row>
    <row r="127" spans="1:7" ht="29" x14ac:dyDescent="0.35">
      <c r="A127" s="47" t="s">
        <v>2006</v>
      </c>
      <c r="B127" s="34" t="s">
        <v>96</v>
      </c>
    </row>
    <row r="128" spans="1:7" ht="29" x14ac:dyDescent="0.35">
      <c r="A128" s="47" t="s">
        <v>2009</v>
      </c>
      <c r="B128" s="34" t="s">
        <v>96</v>
      </c>
    </row>
    <row r="129" spans="1:4" ht="29" x14ac:dyDescent="0.35">
      <c r="A129" s="47" t="s">
        <v>2135</v>
      </c>
      <c r="B129" s="34" t="s">
        <v>96</v>
      </c>
    </row>
    <row r="130" spans="1:4" ht="29" x14ac:dyDescent="0.35">
      <c r="A130" s="47" t="s">
        <v>2136</v>
      </c>
      <c r="B130" s="34" t="s">
        <v>96</v>
      </c>
    </row>
    <row r="132" spans="1:4" ht="29" x14ac:dyDescent="0.35">
      <c r="A132" s="252" t="s">
        <v>2154</v>
      </c>
      <c r="B132" s="253" t="s">
        <v>2155</v>
      </c>
      <c r="C132" s="253" t="s">
        <v>2156</v>
      </c>
      <c r="D132" s="258" t="s">
        <v>2157</v>
      </c>
    </row>
    <row r="133" spans="1:4" ht="71.5" customHeight="1" x14ac:dyDescent="0.35">
      <c r="A133" s="257" t="s">
        <v>2187</v>
      </c>
      <c r="B133" s="256"/>
      <c r="C133" s="255" t="s">
        <v>2188</v>
      </c>
      <c r="D133" s="254"/>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5AED-A937-4CE7-AD7C-0B11BDF4315D}">
  <dimension ref="A1:H77"/>
  <sheetViews>
    <sheetView showGridLines="0" workbookViewId="0">
      <pane ySplit="4" topLeftCell="A74" activePane="bottomLeft" state="frozen"/>
      <selection activeCell="A2" sqref="A2:XFD2"/>
      <selection pane="bottomLeft" activeCell="D77" sqref="D77"/>
    </sheetView>
  </sheetViews>
  <sheetFormatPr defaultRowHeight="14.5" x14ac:dyDescent="0.35"/>
  <cols>
    <col min="1" max="1" width="50.453125" customWidth="1"/>
    <col min="2" max="2" width="23.54296875" customWidth="1"/>
    <col min="3" max="3" width="26.6328125" customWidth="1"/>
    <col min="4" max="4" width="21.7265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43</v>
      </c>
      <c r="B1" s="151"/>
      <c r="C1" s="151"/>
      <c r="D1" s="151"/>
      <c r="E1" s="151"/>
      <c r="F1" s="151"/>
      <c r="G1" s="151"/>
      <c r="H1" s="50" t="str">
        <f>HYPERLINK("[EDEL_Portfolio Monthly Notes 31-Oct-2022.xlsx]Index!A1","Index")</f>
        <v>Index</v>
      </c>
    </row>
    <row r="2" spans="1:8" ht="31" customHeight="1" x14ac:dyDescent="0.35">
      <c r="A2" s="151" t="s">
        <v>44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97</v>
      </c>
      <c r="B9" s="30"/>
      <c r="C9" s="30"/>
      <c r="D9" s="13"/>
      <c r="E9" s="14"/>
      <c r="F9" s="15"/>
      <c r="G9" s="15"/>
    </row>
    <row r="10" spans="1:8" x14ac:dyDescent="0.35">
      <c r="A10" s="12"/>
      <c r="B10" s="30"/>
      <c r="C10" s="30"/>
      <c r="D10" s="13"/>
      <c r="E10" s="14"/>
      <c r="F10" s="15"/>
      <c r="G10" s="15"/>
    </row>
    <row r="11" spans="1:8" x14ac:dyDescent="0.35">
      <c r="A11" s="16" t="s">
        <v>98</v>
      </c>
      <c r="B11" s="30"/>
      <c r="C11" s="30"/>
      <c r="D11" s="13"/>
      <c r="E11" s="14"/>
      <c r="F11" s="15"/>
      <c r="G11" s="15"/>
    </row>
    <row r="12" spans="1:8" x14ac:dyDescent="0.35">
      <c r="A12" s="12" t="s">
        <v>852</v>
      </c>
      <c r="B12" s="30" t="s">
        <v>853</v>
      </c>
      <c r="C12" s="30" t="s">
        <v>101</v>
      </c>
      <c r="D12" s="13">
        <v>500000</v>
      </c>
      <c r="E12" s="14">
        <v>499.84</v>
      </c>
      <c r="F12" s="15">
        <v>8.6999999999999994E-3</v>
      </c>
      <c r="G12" s="15">
        <v>6.0245E-2</v>
      </c>
    </row>
    <row r="13" spans="1:8" x14ac:dyDescent="0.35">
      <c r="A13" s="12" t="s">
        <v>854</v>
      </c>
      <c r="B13" s="30" t="s">
        <v>855</v>
      </c>
      <c r="C13" s="30" t="s">
        <v>101</v>
      </c>
      <c r="D13" s="13">
        <v>500000</v>
      </c>
      <c r="E13" s="14">
        <v>498.11</v>
      </c>
      <c r="F13" s="15">
        <v>8.6999999999999994E-3</v>
      </c>
      <c r="G13" s="15">
        <v>6.0247000000000002E-2</v>
      </c>
    </row>
    <row r="14" spans="1:8" x14ac:dyDescent="0.35">
      <c r="A14" s="16" t="s">
        <v>102</v>
      </c>
      <c r="B14" s="31"/>
      <c r="C14" s="31"/>
      <c r="D14" s="17"/>
      <c r="E14" s="18">
        <v>997.95</v>
      </c>
      <c r="F14" s="19">
        <v>1.7399999999999999E-2</v>
      </c>
      <c r="G14" s="20"/>
    </row>
    <row r="15" spans="1:8" x14ac:dyDescent="0.35">
      <c r="A15" s="12"/>
      <c r="B15" s="30"/>
      <c r="C15" s="30"/>
      <c r="D15" s="13"/>
      <c r="E15" s="14"/>
      <c r="F15" s="15"/>
      <c r="G15" s="15"/>
    </row>
    <row r="16" spans="1:8" x14ac:dyDescent="0.35">
      <c r="A16" s="21" t="s">
        <v>129</v>
      </c>
      <c r="B16" s="32"/>
      <c r="C16" s="32"/>
      <c r="D16" s="22"/>
      <c r="E16" s="18">
        <v>997.95</v>
      </c>
      <c r="F16" s="19">
        <v>1.7399999999999999E-2</v>
      </c>
      <c r="G16" s="20"/>
    </row>
    <row r="17" spans="1:7" x14ac:dyDescent="0.35">
      <c r="A17" s="12"/>
      <c r="B17" s="30"/>
      <c r="C17" s="30"/>
      <c r="D17" s="13"/>
      <c r="E17" s="14"/>
      <c r="F17" s="15"/>
      <c r="G17" s="15"/>
    </row>
    <row r="18" spans="1:7" x14ac:dyDescent="0.35">
      <c r="A18" s="12"/>
      <c r="B18" s="30"/>
      <c r="C18" s="30"/>
      <c r="D18" s="13"/>
      <c r="E18" s="14"/>
      <c r="F18" s="15"/>
      <c r="G18" s="15"/>
    </row>
    <row r="19" spans="1:7" x14ac:dyDescent="0.35">
      <c r="A19" s="16" t="s">
        <v>130</v>
      </c>
      <c r="B19" s="30"/>
      <c r="C19" s="30"/>
      <c r="D19" s="13"/>
      <c r="E19" s="14"/>
      <c r="F19" s="15"/>
      <c r="G19" s="15"/>
    </row>
    <row r="20" spans="1:7" x14ac:dyDescent="0.35">
      <c r="A20" s="12" t="s">
        <v>131</v>
      </c>
      <c r="B20" s="30"/>
      <c r="C20" s="30"/>
      <c r="D20" s="13"/>
      <c r="E20" s="14">
        <v>56547.54</v>
      </c>
      <c r="F20" s="15">
        <v>0.98380000000000001</v>
      </c>
      <c r="G20" s="87">
        <v>6.1074000000000003E-2</v>
      </c>
    </row>
    <row r="21" spans="1:7" x14ac:dyDescent="0.35">
      <c r="A21" s="16" t="s">
        <v>102</v>
      </c>
      <c r="B21" s="31"/>
      <c r="C21" s="31"/>
      <c r="D21" s="17"/>
      <c r="E21" s="18">
        <v>56547.54</v>
      </c>
      <c r="F21" s="19">
        <v>0.98380000000000001</v>
      </c>
      <c r="G21" s="88"/>
    </row>
    <row r="22" spans="1:7" x14ac:dyDescent="0.35">
      <c r="A22" s="12"/>
      <c r="B22" s="30"/>
      <c r="C22" s="30"/>
      <c r="D22" s="13"/>
      <c r="E22" s="14"/>
      <c r="F22" s="15"/>
      <c r="G22" s="87"/>
    </row>
    <row r="23" spans="1:7" x14ac:dyDescent="0.35">
      <c r="A23" s="21" t="s">
        <v>129</v>
      </c>
      <c r="B23" s="32"/>
      <c r="C23" s="32"/>
      <c r="D23" s="22"/>
      <c r="E23" s="18">
        <v>56547.54</v>
      </c>
      <c r="F23" s="19">
        <v>0.98380000000000001</v>
      </c>
      <c r="G23" s="88"/>
    </row>
    <row r="24" spans="1:7" x14ac:dyDescent="0.35">
      <c r="A24" s="12" t="s">
        <v>132</v>
      </c>
      <c r="B24" s="30"/>
      <c r="C24" s="30"/>
      <c r="D24" s="13"/>
      <c r="E24" s="14">
        <v>9.4618748999999998</v>
      </c>
      <c r="F24" s="15">
        <v>1.64E-4</v>
      </c>
      <c r="G24" s="87"/>
    </row>
    <row r="25" spans="1:7" x14ac:dyDescent="0.35">
      <c r="A25" s="12" t="s">
        <v>133</v>
      </c>
      <c r="B25" s="30"/>
      <c r="C25" s="30"/>
      <c r="D25" s="13"/>
      <c r="E25" s="23">
        <v>-74.3818749</v>
      </c>
      <c r="F25" s="24">
        <v>-1.364E-3</v>
      </c>
      <c r="G25" s="87">
        <v>6.1074000000000003E-2</v>
      </c>
    </row>
    <row r="26" spans="1:7" x14ac:dyDescent="0.35">
      <c r="A26" s="25" t="s">
        <v>134</v>
      </c>
      <c r="B26" s="33"/>
      <c r="C26" s="33"/>
      <c r="D26" s="26"/>
      <c r="E26" s="27">
        <v>57480.57</v>
      </c>
      <c r="F26" s="28">
        <v>1</v>
      </c>
      <c r="G26" s="28"/>
    </row>
    <row r="31" spans="1:7" x14ac:dyDescent="0.35">
      <c r="A31" s="1" t="s">
        <v>1981</v>
      </c>
    </row>
    <row r="32" spans="1:7" x14ac:dyDescent="0.35">
      <c r="A32" s="47" t="s">
        <v>1982</v>
      </c>
      <c r="B32" s="34" t="s">
        <v>96</v>
      </c>
    </row>
    <row r="33" spans="1:7" x14ac:dyDescent="0.35">
      <c r="A33" t="s">
        <v>1983</v>
      </c>
    </row>
    <row r="34" spans="1:7" x14ac:dyDescent="0.35">
      <c r="A34" t="s">
        <v>2007</v>
      </c>
      <c r="B34" t="s">
        <v>1985</v>
      </c>
      <c r="C34" t="s">
        <v>1985</v>
      </c>
    </row>
    <row r="35" spans="1:7" x14ac:dyDescent="0.35">
      <c r="B35" s="48">
        <v>44834</v>
      </c>
      <c r="C35" s="48">
        <v>44865</v>
      </c>
    </row>
    <row r="36" spans="1:7" x14ac:dyDescent="0.35">
      <c r="A36" t="s">
        <v>1986</v>
      </c>
      <c r="B36">
        <v>1127.24</v>
      </c>
      <c r="C36">
        <v>1132.8744999999999</v>
      </c>
      <c r="E36" s="2"/>
      <c r="G36"/>
    </row>
    <row r="37" spans="1:7" x14ac:dyDescent="0.35">
      <c r="A37" t="s">
        <v>2026</v>
      </c>
      <c r="B37">
        <v>1000</v>
      </c>
      <c r="C37">
        <v>1000.0265000000001</v>
      </c>
      <c r="E37" s="2"/>
      <c r="G37"/>
    </row>
    <row r="38" spans="1:7" x14ac:dyDescent="0.35">
      <c r="A38" t="s">
        <v>2010</v>
      </c>
      <c r="B38" t="s">
        <v>1988</v>
      </c>
      <c r="C38" t="s">
        <v>1988</v>
      </c>
      <c r="E38" s="2"/>
      <c r="G38"/>
    </row>
    <row r="39" spans="1:7" x14ac:dyDescent="0.35">
      <c r="A39" t="s">
        <v>1989</v>
      </c>
      <c r="B39">
        <v>1126.8954000000001</v>
      </c>
      <c r="C39">
        <v>1132.5174</v>
      </c>
      <c r="E39" s="2"/>
      <c r="G39"/>
    </row>
    <row r="40" spans="1:7" x14ac:dyDescent="0.35">
      <c r="A40" t="s">
        <v>2011</v>
      </c>
      <c r="B40">
        <v>1058.287</v>
      </c>
      <c r="C40">
        <v>1058.5359000000001</v>
      </c>
      <c r="E40" s="2"/>
      <c r="G40"/>
    </row>
    <row r="41" spans="1:7" x14ac:dyDescent="0.35">
      <c r="A41" t="s">
        <v>2012</v>
      </c>
      <c r="B41" t="s">
        <v>1988</v>
      </c>
      <c r="C41" t="s">
        <v>1988</v>
      </c>
      <c r="E41" s="2"/>
      <c r="G41"/>
    </row>
    <row r="42" spans="1:7" x14ac:dyDescent="0.35">
      <c r="A42" t="s">
        <v>2027</v>
      </c>
      <c r="B42">
        <v>1124.7737</v>
      </c>
      <c r="C42">
        <v>1130.3373999999999</v>
      </c>
      <c r="E42" s="2"/>
      <c r="G42"/>
    </row>
    <row r="43" spans="1:7" x14ac:dyDescent="0.35">
      <c r="A43" t="s">
        <v>2028</v>
      </c>
      <c r="B43">
        <v>1008.1128</v>
      </c>
      <c r="C43">
        <v>1008.1128</v>
      </c>
      <c r="E43" s="2"/>
      <c r="G43"/>
    </row>
    <row r="44" spans="1:7" x14ac:dyDescent="0.35">
      <c r="A44" t="s">
        <v>2013</v>
      </c>
      <c r="B44">
        <v>1095.2911999999999</v>
      </c>
      <c r="C44">
        <v>1095.5047</v>
      </c>
      <c r="E44" s="2"/>
      <c r="G44"/>
    </row>
    <row r="45" spans="1:7" x14ac:dyDescent="0.35">
      <c r="A45" t="s">
        <v>2014</v>
      </c>
      <c r="B45">
        <v>1124.7737</v>
      </c>
      <c r="C45">
        <v>1130.337</v>
      </c>
      <c r="E45" s="2"/>
      <c r="G45"/>
    </row>
    <row r="46" spans="1:7" x14ac:dyDescent="0.35">
      <c r="A46" t="s">
        <v>2016</v>
      </c>
      <c r="B46">
        <v>1004.1840999999999</v>
      </c>
      <c r="C46">
        <v>1004.424</v>
      </c>
      <c r="E46" s="2"/>
      <c r="G46"/>
    </row>
    <row r="47" spans="1:7" x14ac:dyDescent="0.35">
      <c r="A47" t="s">
        <v>2017</v>
      </c>
      <c r="B47">
        <v>1016.2401</v>
      </c>
      <c r="C47">
        <v>1016.7791</v>
      </c>
      <c r="E47" s="2"/>
      <c r="G47"/>
    </row>
    <row r="48" spans="1:7" x14ac:dyDescent="0.35">
      <c r="A48" t="s">
        <v>2029</v>
      </c>
      <c r="B48">
        <v>1031.0471</v>
      </c>
      <c r="C48">
        <v>1036.1909000000001</v>
      </c>
      <c r="E48" s="2"/>
      <c r="G48"/>
    </row>
    <row r="49" spans="1:7" x14ac:dyDescent="0.35">
      <c r="A49" t="s">
        <v>2030</v>
      </c>
      <c r="B49">
        <v>1000</v>
      </c>
      <c r="C49">
        <v>1000</v>
      </c>
      <c r="E49" s="2"/>
      <c r="G49"/>
    </row>
    <row r="50" spans="1:7" x14ac:dyDescent="0.35">
      <c r="A50" t="s">
        <v>2031</v>
      </c>
      <c r="B50">
        <v>1031.0471</v>
      </c>
      <c r="C50">
        <v>1036.1909000000001</v>
      </c>
      <c r="E50" s="2"/>
      <c r="G50"/>
    </row>
    <row r="51" spans="1:7" x14ac:dyDescent="0.35">
      <c r="A51" t="s">
        <v>2032</v>
      </c>
      <c r="B51">
        <v>1000</v>
      </c>
      <c r="C51">
        <v>1000</v>
      </c>
      <c r="E51" s="2"/>
      <c r="G51"/>
    </row>
    <row r="52" spans="1:7" x14ac:dyDescent="0.35">
      <c r="A52" t="s">
        <v>1999</v>
      </c>
      <c r="E52" s="2"/>
      <c r="G52"/>
    </row>
    <row r="54" spans="1:7" x14ac:dyDescent="0.35">
      <c r="A54" s="137" t="s">
        <v>2020</v>
      </c>
      <c r="B54" s="34"/>
    </row>
    <row r="55" spans="1:7" s="137" customFormat="1" x14ac:dyDescent="0.35">
      <c r="B55" s="34"/>
      <c r="G55" s="2"/>
    </row>
    <row r="56" spans="1:7" s="137" customFormat="1" x14ac:dyDescent="0.35">
      <c r="A56" s="149" t="s">
        <v>2021</v>
      </c>
      <c r="B56" s="149" t="s">
        <v>2022</v>
      </c>
      <c r="C56" s="149" t="s">
        <v>2023</v>
      </c>
      <c r="D56" s="149" t="s">
        <v>2024</v>
      </c>
      <c r="G56" s="2"/>
    </row>
    <row r="57" spans="1:7" s="137" customFormat="1" x14ac:dyDescent="0.35">
      <c r="A57" s="149" t="s">
        <v>2143</v>
      </c>
      <c r="B57" s="149"/>
      <c r="C57" s="149">
        <v>4.9517227999999998</v>
      </c>
      <c r="D57" s="149">
        <v>4.9517227999999998</v>
      </c>
      <c r="G57" s="2"/>
    </row>
    <row r="58" spans="1:7" s="137" customFormat="1" x14ac:dyDescent="0.35">
      <c r="A58" s="149" t="s">
        <v>2144</v>
      </c>
      <c r="B58" s="149"/>
      <c r="C58" s="149">
        <v>5.0284551999999998</v>
      </c>
      <c r="D58" s="149">
        <v>5.0284551999999998</v>
      </c>
      <c r="G58" s="2"/>
    </row>
    <row r="59" spans="1:7" s="137" customFormat="1" x14ac:dyDescent="0.35">
      <c r="A59" s="149" t="s">
        <v>2145</v>
      </c>
      <c r="B59" s="149"/>
      <c r="C59" s="149">
        <v>4.9792626999999996</v>
      </c>
      <c r="D59" s="149">
        <v>4.9792626999999996</v>
      </c>
      <c r="G59" s="2"/>
    </row>
    <row r="60" spans="1:7" s="137" customFormat="1" x14ac:dyDescent="0.35">
      <c r="A60" s="149" t="s">
        <v>2146</v>
      </c>
      <c r="B60" s="149"/>
      <c r="C60" s="149">
        <v>5.1622244000000004</v>
      </c>
      <c r="D60" s="149">
        <v>5.1622244000000004</v>
      </c>
      <c r="G60" s="2"/>
    </row>
    <row r="61" spans="1:7" s="137" customFormat="1" x14ac:dyDescent="0.35">
      <c r="A61" s="149" t="s">
        <v>2147</v>
      </c>
      <c r="B61" s="149"/>
      <c r="C61" s="149">
        <v>4.7298458999999999</v>
      </c>
      <c r="D61" s="149">
        <v>4.7298458999999999</v>
      </c>
      <c r="G61" s="2"/>
    </row>
    <row r="62" spans="1:7" s="137" customFormat="1" x14ac:dyDescent="0.35">
      <c r="A62" s="149" t="s">
        <v>2148</v>
      </c>
      <c r="B62" s="149"/>
      <c r="C62" s="149">
        <v>4.4881722999999996</v>
      </c>
      <c r="D62" s="149">
        <v>4.4881722999999996</v>
      </c>
      <c r="G62" s="2"/>
    </row>
    <row r="63" spans="1:7" s="137" customFormat="1" x14ac:dyDescent="0.35">
      <c r="B63" s="34"/>
      <c r="G63" s="2"/>
    </row>
    <row r="64" spans="1:7" s="137" customFormat="1" x14ac:dyDescent="0.35">
      <c r="B64" s="34"/>
      <c r="G64" s="2"/>
    </row>
    <row r="65" spans="1:7" s="137" customFormat="1" x14ac:dyDescent="0.35">
      <c r="B65" s="34"/>
      <c r="G65" s="2"/>
    </row>
    <row r="66" spans="1:7" x14ac:dyDescent="0.35">
      <c r="A66" t="s">
        <v>2001</v>
      </c>
      <c r="B66" s="34" t="s">
        <v>96</v>
      </c>
    </row>
    <row r="67" spans="1:7" ht="29" x14ac:dyDescent="0.35">
      <c r="A67" s="47" t="s">
        <v>2002</v>
      </c>
      <c r="B67" s="34" t="s">
        <v>96</v>
      </c>
    </row>
    <row r="68" spans="1:7" ht="29" x14ac:dyDescent="0.35">
      <c r="A68" s="47" t="s">
        <v>2003</v>
      </c>
      <c r="B68" s="34" t="s">
        <v>96</v>
      </c>
    </row>
    <row r="69" spans="1:7" x14ac:dyDescent="0.35">
      <c r="A69" t="s">
        <v>2004</v>
      </c>
      <c r="B69" s="49">
        <v>5.9370520924800004E-4</v>
      </c>
    </row>
    <row r="70" spans="1:7" ht="43.5" x14ac:dyDescent="0.35">
      <c r="A70" s="47" t="s">
        <v>2005</v>
      </c>
      <c r="B70" s="34" t="s">
        <v>96</v>
      </c>
    </row>
    <row r="71" spans="1:7" ht="29" x14ac:dyDescent="0.35">
      <c r="A71" s="47" t="s">
        <v>2006</v>
      </c>
      <c r="B71" s="34" t="s">
        <v>96</v>
      </c>
    </row>
    <row r="72" spans="1:7" ht="29" x14ac:dyDescent="0.35">
      <c r="A72" s="47" t="s">
        <v>2009</v>
      </c>
      <c r="B72" s="34" t="s">
        <v>96</v>
      </c>
    </row>
    <row r="73" spans="1:7" ht="29" x14ac:dyDescent="0.35">
      <c r="A73" s="47" t="s">
        <v>2135</v>
      </c>
      <c r="B73" s="34" t="s">
        <v>96</v>
      </c>
    </row>
    <row r="74" spans="1:7" ht="29" x14ac:dyDescent="0.35">
      <c r="A74" s="47" t="s">
        <v>2136</v>
      </c>
      <c r="B74" s="34" t="s">
        <v>96</v>
      </c>
    </row>
    <row r="76" spans="1:7" ht="29" x14ac:dyDescent="0.35">
      <c r="A76" s="259" t="s">
        <v>2154</v>
      </c>
      <c r="B76" s="260" t="s">
        <v>2155</v>
      </c>
      <c r="C76" s="260" t="s">
        <v>2156</v>
      </c>
      <c r="D76" s="264" t="s">
        <v>2157</v>
      </c>
    </row>
    <row r="77" spans="1:7" ht="70" customHeight="1" x14ac:dyDescent="0.35">
      <c r="A77" s="263" t="s">
        <v>2189</v>
      </c>
      <c r="B77" s="261"/>
      <c r="C77" s="262" t="s">
        <v>2190</v>
      </c>
      <c r="D77" s="26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ED9D-F931-423A-B1DF-315089DAA8D5}">
  <dimension ref="A1:H412"/>
  <sheetViews>
    <sheetView showGridLines="0" workbookViewId="0">
      <pane ySplit="4" topLeftCell="A411" activePane="bottomLeft" state="frozen"/>
      <selection activeCell="A2" sqref="A2:XFD2"/>
      <selection pane="bottomLeft" activeCell="C412" sqref="C412"/>
    </sheetView>
  </sheetViews>
  <sheetFormatPr defaultRowHeight="14.5" x14ac:dyDescent="0.35"/>
  <cols>
    <col min="1" max="1" width="50.453125" customWidth="1"/>
    <col min="2" max="2" width="22.08984375" customWidth="1"/>
    <col min="3" max="3" width="26.6328125" customWidth="1"/>
    <col min="4" max="4" width="21.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45</v>
      </c>
      <c r="B1" s="151"/>
      <c r="C1" s="151"/>
      <c r="D1" s="151"/>
      <c r="E1" s="151"/>
      <c r="F1" s="151"/>
      <c r="G1" s="151"/>
      <c r="H1" s="50" t="str">
        <f>HYPERLINK("[EDEL_Portfolio Monthly Notes 31-Oct-2022.xlsx]Index!A1","Index")</f>
        <v>Index</v>
      </c>
    </row>
    <row r="2" spans="1:8" ht="31" customHeight="1" x14ac:dyDescent="0.35">
      <c r="A2" s="151" t="s">
        <v>46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857</v>
      </c>
      <c r="B8" s="30" t="s">
        <v>858</v>
      </c>
      <c r="C8" s="30" t="s">
        <v>859</v>
      </c>
      <c r="D8" s="13">
        <v>2591250</v>
      </c>
      <c r="E8" s="14">
        <v>21340.240000000002</v>
      </c>
      <c r="F8" s="15">
        <v>3.8600000000000002E-2</v>
      </c>
      <c r="G8" s="15"/>
    </row>
    <row r="9" spans="1:8" x14ac:dyDescent="0.35">
      <c r="A9" s="12" t="s">
        <v>860</v>
      </c>
      <c r="B9" s="30" t="s">
        <v>861</v>
      </c>
      <c r="C9" s="30" t="s">
        <v>862</v>
      </c>
      <c r="D9" s="13">
        <v>811200</v>
      </c>
      <c r="E9" s="14">
        <v>15428.62</v>
      </c>
      <c r="F9" s="15">
        <v>2.7900000000000001E-2</v>
      </c>
      <c r="G9" s="15"/>
    </row>
    <row r="10" spans="1:8" x14ac:dyDescent="0.35">
      <c r="A10" s="12" t="s">
        <v>863</v>
      </c>
      <c r="B10" s="30" t="s">
        <v>864</v>
      </c>
      <c r="C10" s="30" t="s">
        <v>865</v>
      </c>
      <c r="D10" s="13">
        <v>544250</v>
      </c>
      <c r="E10" s="14">
        <v>13876.2</v>
      </c>
      <c r="F10" s="15">
        <v>2.5100000000000001E-2</v>
      </c>
      <c r="G10" s="15"/>
    </row>
    <row r="11" spans="1:8" x14ac:dyDescent="0.35">
      <c r="A11" s="12" t="s">
        <v>866</v>
      </c>
      <c r="B11" s="30" t="s">
        <v>867</v>
      </c>
      <c r="C11" s="30" t="s">
        <v>868</v>
      </c>
      <c r="D11" s="13">
        <v>8545000</v>
      </c>
      <c r="E11" s="14">
        <v>13099.49</v>
      </c>
      <c r="F11" s="15">
        <v>2.3699999999999999E-2</v>
      </c>
      <c r="G11" s="15"/>
    </row>
    <row r="12" spans="1:8" x14ac:dyDescent="0.35">
      <c r="A12" s="12" t="s">
        <v>869</v>
      </c>
      <c r="B12" s="30" t="s">
        <v>870</v>
      </c>
      <c r="C12" s="30" t="s">
        <v>871</v>
      </c>
      <c r="D12" s="13">
        <v>332000</v>
      </c>
      <c r="E12" s="14">
        <v>11113.53</v>
      </c>
      <c r="F12" s="15">
        <v>2.01E-2</v>
      </c>
      <c r="G12" s="15"/>
    </row>
    <row r="13" spans="1:8" x14ac:dyDescent="0.35">
      <c r="A13" s="12" t="s">
        <v>872</v>
      </c>
      <c r="B13" s="30" t="s">
        <v>873</v>
      </c>
      <c r="C13" s="30" t="s">
        <v>874</v>
      </c>
      <c r="D13" s="13">
        <v>2449925</v>
      </c>
      <c r="E13" s="14">
        <v>9938.1200000000008</v>
      </c>
      <c r="F13" s="15">
        <v>1.7999999999999999E-2</v>
      </c>
      <c r="G13" s="15"/>
    </row>
    <row r="14" spans="1:8" x14ac:dyDescent="0.35">
      <c r="A14" s="12" t="s">
        <v>875</v>
      </c>
      <c r="B14" s="30" t="s">
        <v>876</v>
      </c>
      <c r="C14" s="30" t="s">
        <v>877</v>
      </c>
      <c r="D14" s="13">
        <v>386175</v>
      </c>
      <c r="E14" s="14">
        <v>9770.42</v>
      </c>
      <c r="F14" s="15">
        <v>1.77E-2</v>
      </c>
      <c r="G14" s="15"/>
    </row>
    <row r="15" spans="1:8" x14ac:dyDescent="0.35">
      <c r="A15" s="12" t="s">
        <v>878</v>
      </c>
      <c r="B15" s="30" t="s">
        <v>879</v>
      </c>
      <c r="C15" s="30" t="s">
        <v>862</v>
      </c>
      <c r="D15" s="13">
        <v>22048000</v>
      </c>
      <c r="E15" s="14">
        <v>9403.4699999999993</v>
      </c>
      <c r="F15" s="15">
        <v>1.7000000000000001E-2</v>
      </c>
      <c r="G15" s="15"/>
    </row>
    <row r="16" spans="1:8" x14ac:dyDescent="0.35">
      <c r="A16" s="12" t="s">
        <v>880</v>
      </c>
      <c r="B16" s="30" t="s">
        <v>881</v>
      </c>
      <c r="C16" s="30" t="s">
        <v>882</v>
      </c>
      <c r="D16" s="13">
        <v>3396000</v>
      </c>
      <c r="E16" s="14">
        <v>8912.7999999999993</v>
      </c>
      <c r="F16" s="15">
        <v>1.61E-2</v>
      </c>
      <c r="G16" s="15"/>
    </row>
    <row r="17" spans="1:7" x14ac:dyDescent="0.35">
      <c r="A17" s="12" t="s">
        <v>883</v>
      </c>
      <c r="B17" s="30" t="s">
        <v>884</v>
      </c>
      <c r="C17" s="30" t="s">
        <v>885</v>
      </c>
      <c r="D17" s="13">
        <v>345300</v>
      </c>
      <c r="E17" s="14">
        <v>8528.2199999999993</v>
      </c>
      <c r="F17" s="15">
        <v>1.54E-2</v>
      </c>
      <c r="G17" s="15"/>
    </row>
    <row r="18" spans="1:7" x14ac:dyDescent="0.35">
      <c r="A18" s="12" t="s">
        <v>886</v>
      </c>
      <c r="B18" s="30" t="s">
        <v>887</v>
      </c>
      <c r="C18" s="30" t="s">
        <v>888</v>
      </c>
      <c r="D18" s="13">
        <v>1063400</v>
      </c>
      <c r="E18" s="14">
        <v>7764.95</v>
      </c>
      <c r="F18" s="15">
        <v>1.4E-2</v>
      </c>
      <c r="G18" s="15"/>
    </row>
    <row r="19" spans="1:7" x14ac:dyDescent="0.35">
      <c r="A19" s="12" t="s">
        <v>889</v>
      </c>
      <c r="B19" s="30" t="s">
        <v>890</v>
      </c>
      <c r="C19" s="30" t="s">
        <v>862</v>
      </c>
      <c r="D19" s="13">
        <v>851125</v>
      </c>
      <c r="E19" s="14">
        <v>7734.17</v>
      </c>
      <c r="F19" s="15">
        <v>1.4E-2</v>
      </c>
      <c r="G19" s="15"/>
    </row>
    <row r="20" spans="1:7" x14ac:dyDescent="0.35">
      <c r="A20" s="12" t="s">
        <v>891</v>
      </c>
      <c r="B20" s="30" t="s">
        <v>892</v>
      </c>
      <c r="C20" s="30" t="s">
        <v>893</v>
      </c>
      <c r="D20" s="13">
        <v>856250</v>
      </c>
      <c r="E20" s="14">
        <v>7675</v>
      </c>
      <c r="F20" s="15">
        <v>1.3899999999999999E-2</v>
      </c>
      <c r="G20" s="15"/>
    </row>
    <row r="21" spans="1:7" x14ac:dyDescent="0.35">
      <c r="A21" s="12" t="s">
        <v>894</v>
      </c>
      <c r="B21" s="30" t="s">
        <v>895</v>
      </c>
      <c r="C21" s="30" t="s">
        <v>862</v>
      </c>
      <c r="D21" s="13">
        <v>502700</v>
      </c>
      <c r="E21" s="14">
        <v>7523.91</v>
      </c>
      <c r="F21" s="15">
        <v>1.3599999999999999E-2</v>
      </c>
      <c r="G21" s="15"/>
    </row>
    <row r="22" spans="1:7" x14ac:dyDescent="0.35">
      <c r="A22" s="12" t="s">
        <v>896</v>
      </c>
      <c r="B22" s="30" t="s">
        <v>897</v>
      </c>
      <c r="C22" s="30" t="s">
        <v>898</v>
      </c>
      <c r="D22" s="13">
        <v>73600</v>
      </c>
      <c r="E22" s="14">
        <v>7012.31</v>
      </c>
      <c r="F22" s="15">
        <v>1.2699999999999999E-2</v>
      </c>
      <c r="G22" s="15"/>
    </row>
    <row r="23" spans="1:7" x14ac:dyDescent="0.35">
      <c r="A23" s="12" t="s">
        <v>899</v>
      </c>
      <c r="B23" s="30" t="s">
        <v>900</v>
      </c>
      <c r="C23" s="30" t="s">
        <v>901</v>
      </c>
      <c r="D23" s="13">
        <v>3098250</v>
      </c>
      <c r="E23" s="14">
        <v>7002.05</v>
      </c>
      <c r="F23" s="15">
        <v>1.2699999999999999E-2</v>
      </c>
      <c r="G23" s="15"/>
    </row>
    <row r="24" spans="1:7" x14ac:dyDescent="0.35">
      <c r="A24" s="12" t="s">
        <v>902</v>
      </c>
      <c r="B24" s="30" t="s">
        <v>903</v>
      </c>
      <c r="C24" s="30" t="s">
        <v>862</v>
      </c>
      <c r="D24" s="13">
        <v>4703400</v>
      </c>
      <c r="E24" s="14">
        <v>6946.92</v>
      </c>
      <c r="F24" s="15">
        <v>1.26E-2</v>
      </c>
      <c r="G24" s="15"/>
    </row>
    <row r="25" spans="1:7" x14ac:dyDescent="0.35">
      <c r="A25" s="12" t="s">
        <v>904</v>
      </c>
      <c r="B25" s="30" t="s">
        <v>905</v>
      </c>
      <c r="C25" s="30" t="s">
        <v>885</v>
      </c>
      <c r="D25" s="13">
        <v>8850000</v>
      </c>
      <c r="E25" s="14">
        <v>6854.33</v>
      </c>
      <c r="F25" s="15">
        <v>1.24E-2</v>
      </c>
      <c r="G25" s="15"/>
    </row>
    <row r="26" spans="1:7" x14ac:dyDescent="0.35">
      <c r="A26" s="12" t="s">
        <v>906</v>
      </c>
      <c r="B26" s="30" t="s">
        <v>907</v>
      </c>
      <c r="C26" s="30" t="s">
        <v>908</v>
      </c>
      <c r="D26" s="13">
        <v>1278000</v>
      </c>
      <c r="E26" s="14">
        <v>6811.1</v>
      </c>
      <c r="F26" s="15">
        <v>1.23E-2</v>
      </c>
      <c r="G26" s="15"/>
    </row>
    <row r="27" spans="1:7" x14ac:dyDescent="0.35">
      <c r="A27" s="12" t="s">
        <v>909</v>
      </c>
      <c r="B27" s="30" t="s">
        <v>910</v>
      </c>
      <c r="C27" s="30" t="s">
        <v>911</v>
      </c>
      <c r="D27" s="13">
        <v>619500</v>
      </c>
      <c r="E27" s="14">
        <v>6449.92</v>
      </c>
      <c r="F27" s="15">
        <v>1.17E-2</v>
      </c>
      <c r="G27" s="15"/>
    </row>
    <row r="28" spans="1:7" x14ac:dyDescent="0.35">
      <c r="A28" s="12" t="s">
        <v>912</v>
      </c>
      <c r="B28" s="30" t="s">
        <v>913</v>
      </c>
      <c r="C28" s="30" t="s">
        <v>911</v>
      </c>
      <c r="D28" s="13">
        <v>173800</v>
      </c>
      <c r="E28" s="14">
        <v>5915.72</v>
      </c>
      <c r="F28" s="15">
        <v>1.0699999999999999E-2</v>
      </c>
      <c r="G28" s="15"/>
    </row>
    <row r="29" spans="1:7" x14ac:dyDescent="0.35">
      <c r="A29" s="12" t="s">
        <v>914</v>
      </c>
      <c r="B29" s="30" t="s">
        <v>915</v>
      </c>
      <c r="C29" s="30" t="s">
        <v>862</v>
      </c>
      <c r="D29" s="13">
        <v>511650</v>
      </c>
      <c r="E29" s="14">
        <v>5846.37</v>
      </c>
      <c r="F29" s="15">
        <v>1.06E-2</v>
      </c>
      <c r="G29" s="15"/>
    </row>
    <row r="30" spans="1:7" x14ac:dyDescent="0.35">
      <c r="A30" s="12" t="s">
        <v>916</v>
      </c>
      <c r="B30" s="30" t="s">
        <v>917</v>
      </c>
      <c r="C30" s="30" t="s">
        <v>862</v>
      </c>
      <c r="D30" s="13">
        <v>606000</v>
      </c>
      <c r="E30" s="14">
        <v>5490.36</v>
      </c>
      <c r="F30" s="15">
        <v>9.9000000000000008E-3</v>
      </c>
      <c r="G30" s="15"/>
    </row>
    <row r="31" spans="1:7" x14ac:dyDescent="0.35">
      <c r="A31" s="12" t="s">
        <v>918</v>
      </c>
      <c r="B31" s="30" t="s">
        <v>919</v>
      </c>
      <c r="C31" s="30" t="s">
        <v>911</v>
      </c>
      <c r="D31" s="13">
        <v>168900</v>
      </c>
      <c r="E31" s="14">
        <v>5393.23</v>
      </c>
      <c r="F31" s="15">
        <v>9.7000000000000003E-3</v>
      </c>
      <c r="G31" s="15"/>
    </row>
    <row r="32" spans="1:7" x14ac:dyDescent="0.35">
      <c r="A32" s="12" t="s">
        <v>920</v>
      </c>
      <c r="B32" s="30" t="s">
        <v>921</v>
      </c>
      <c r="C32" s="30" t="s">
        <v>922</v>
      </c>
      <c r="D32" s="13">
        <v>300000</v>
      </c>
      <c r="E32" s="14">
        <v>5345.1</v>
      </c>
      <c r="F32" s="15">
        <v>9.7000000000000003E-3</v>
      </c>
      <c r="G32" s="15"/>
    </row>
    <row r="33" spans="1:7" x14ac:dyDescent="0.35">
      <c r="A33" s="12" t="s">
        <v>923</v>
      </c>
      <c r="B33" s="30" t="s">
        <v>924</v>
      </c>
      <c r="C33" s="30" t="s">
        <v>877</v>
      </c>
      <c r="D33" s="13">
        <v>4970400</v>
      </c>
      <c r="E33" s="14">
        <v>5310.87</v>
      </c>
      <c r="F33" s="15">
        <v>9.5999999999999992E-3</v>
      </c>
      <c r="G33" s="15"/>
    </row>
    <row r="34" spans="1:7" x14ac:dyDescent="0.35">
      <c r="A34" s="12" t="s">
        <v>925</v>
      </c>
      <c r="B34" s="30" t="s">
        <v>926</v>
      </c>
      <c r="C34" s="30" t="s">
        <v>911</v>
      </c>
      <c r="D34" s="13">
        <v>485400</v>
      </c>
      <c r="E34" s="14">
        <v>5161.74</v>
      </c>
      <c r="F34" s="15">
        <v>9.2999999999999992E-3</v>
      </c>
      <c r="G34" s="15"/>
    </row>
    <row r="35" spans="1:7" x14ac:dyDescent="0.35">
      <c r="A35" s="12" t="s">
        <v>927</v>
      </c>
      <c r="B35" s="30" t="s">
        <v>928</v>
      </c>
      <c r="C35" s="30" t="s">
        <v>862</v>
      </c>
      <c r="D35" s="13">
        <v>3705000</v>
      </c>
      <c r="E35" s="14">
        <v>5007.3100000000004</v>
      </c>
      <c r="F35" s="15">
        <v>8.9999999999999993E-3</v>
      </c>
      <c r="G35" s="15"/>
    </row>
    <row r="36" spans="1:7" x14ac:dyDescent="0.35">
      <c r="A36" s="12" t="s">
        <v>929</v>
      </c>
      <c r="B36" s="30" t="s">
        <v>930</v>
      </c>
      <c r="C36" s="30" t="s">
        <v>931</v>
      </c>
      <c r="D36" s="13">
        <v>397000</v>
      </c>
      <c r="E36" s="14">
        <v>4497.22</v>
      </c>
      <c r="F36" s="15">
        <v>8.0999999999999996E-3</v>
      </c>
      <c r="G36" s="15"/>
    </row>
    <row r="37" spans="1:7" x14ac:dyDescent="0.35">
      <c r="A37" s="12" t="s">
        <v>932</v>
      </c>
      <c r="B37" s="30" t="s">
        <v>933</v>
      </c>
      <c r="C37" s="30" t="s">
        <v>934</v>
      </c>
      <c r="D37" s="13">
        <v>5838000</v>
      </c>
      <c r="E37" s="14">
        <v>4323.04</v>
      </c>
      <c r="F37" s="15">
        <v>7.7999999999999996E-3</v>
      </c>
      <c r="G37" s="15"/>
    </row>
    <row r="38" spans="1:7" x14ac:dyDescent="0.35">
      <c r="A38" s="12" t="s">
        <v>935</v>
      </c>
      <c r="B38" s="30" t="s">
        <v>936</v>
      </c>
      <c r="C38" s="30" t="s">
        <v>937</v>
      </c>
      <c r="D38" s="13">
        <v>274400</v>
      </c>
      <c r="E38" s="14">
        <v>4215.74</v>
      </c>
      <c r="F38" s="15">
        <v>7.6E-3</v>
      </c>
      <c r="G38" s="15"/>
    </row>
    <row r="39" spans="1:7" x14ac:dyDescent="0.35">
      <c r="A39" s="12" t="s">
        <v>938</v>
      </c>
      <c r="B39" s="30" t="s">
        <v>939</v>
      </c>
      <c r="C39" s="30" t="s">
        <v>940</v>
      </c>
      <c r="D39" s="13">
        <v>304200</v>
      </c>
      <c r="E39" s="14">
        <v>4100.3100000000004</v>
      </c>
      <c r="F39" s="15">
        <v>7.4000000000000003E-3</v>
      </c>
      <c r="G39" s="15"/>
    </row>
    <row r="40" spans="1:7" x14ac:dyDescent="0.35">
      <c r="A40" s="12" t="s">
        <v>941</v>
      </c>
      <c r="B40" s="30" t="s">
        <v>942</v>
      </c>
      <c r="C40" s="30" t="s">
        <v>943</v>
      </c>
      <c r="D40" s="13">
        <v>919800</v>
      </c>
      <c r="E40" s="14">
        <v>3985.95</v>
      </c>
      <c r="F40" s="15">
        <v>7.1999999999999998E-3</v>
      </c>
      <c r="G40" s="15"/>
    </row>
    <row r="41" spans="1:7" x14ac:dyDescent="0.35">
      <c r="A41" s="12" t="s">
        <v>944</v>
      </c>
      <c r="B41" s="30" t="s">
        <v>945</v>
      </c>
      <c r="C41" s="30" t="s">
        <v>882</v>
      </c>
      <c r="D41" s="13">
        <v>760500</v>
      </c>
      <c r="E41" s="14">
        <v>3976.27</v>
      </c>
      <c r="F41" s="15">
        <v>7.1999999999999998E-3</v>
      </c>
      <c r="G41" s="15"/>
    </row>
    <row r="42" spans="1:7" x14ac:dyDescent="0.35">
      <c r="A42" s="12" t="s">
        <v>946</v>
      </c>
      <c r="B42" s="30" t="s">
        <v>947</v>
      </c>
      <c r="C42" s="30" t="s">
        <v>885</v>
      </c>
      <c r="D42" s="13">
        <v>465300</v>
      </c>
      <c r="E42" s="14">
        <v>3952.26</v>
      </c>
      <c r="F42" s="15">
        <v>7.1000000000000004E-3</v>
      </c>
      <c r="G42" s="15"/>
    </row>
    <row r="43" spans="1:7" x14ac:dyDescent="0.35">
      <c r="A43" s="12" t="s">
        <v>948</v>
      </c>
      <c r="B43" s="30" t="s">
        <v>949</v>
      </c>
      <c r="C43" s="30" t="s">
        <v>950</v>
      </c>
      <c r="D43" s="13">
        <v>1126400</v>
      </c>
      <c r="E43" s="14">
        <v>3927.76</v>
      </c>
      <c r="F43" s="15">
        <v>7.1000000000000004E-3</v>
      </c>
      <c r="G43" s="15"/>
    </row>
    <row r="44" spans="1:7" x14ac:dyDescent="0.35">
      <c r="A44" s="12" t="s">
        <v>951</v>
      </c>
      <c r="B44" s="30" t="s">
        <v>952</v>
      </c>
      <c r="C44" s="30" t="s">
        <v>953</v>
      </c>
      <c r="D44" s="13">
        <v>21250</v>
      </c>
      <c r="E44" s="14">
        <v>3503.83</v>
      </c>
      <c r="F44" s="15">
        <v>6.3E-3</v>
      </c>
      <c r="G44" s="15"/>
    </row>
    <row r="45" spans="1:7" x14ac:dyDescent="0.35">
      <c r="A45" s="12" t="s">
        <v>954</v>
      </c>
      <c r="B45" s="30" t="s">
        <v>955</v>
      </c>
      <c r="C45" s="30" t="s">
        <v>862</v>
      </c>
      <c r="D45" s="13">
        <v>1101600</v>
      </c>
      <c r="E45" s="14">
        <v>3199.05</v>
      </c>
      <c r="F45" s="15">
        <v>5.7999999999999996E-3</v>
      </c>
      <c r="G45" s="15"/>
    </row>
    <row r="46" spans="1:7" x14ac:dyDescent="0.35">
      <c r="A46" s="12" t="s">
        <v>956</v>
      </c>
      <c r="B46" s="30" t="s">
        <v>957</v>
      </c>
      <c r="C46" s="30" t="s">
        <v>958</v>
      </c>
      <c r="D46" s="13">
        <v>545600</v>
      </c>
      <c r="E46" s="14">
        <v>3196.12</v>
      </c>
      <c r="F46" s="15">
        <v>5.7999999999999996E-3</v>
      </c>
      <c r="G46" s="15"/>
    </row>
    <row r="47" spans="1:7" x14ac:dyDescent="0.35">
      <c r="A47" s="12" t="s">
        <v>959</v>
      </c>
      <c r="B47" s="30" t="s">
        <v>960</v>
      </c>
      <c r="C47" s="30" t="s">
        <v>885</v>
      </c>
      <c r="D47" s="13">
        <v>44500</v>
      </c>
      <c r="E47" s="14">
        <v>3179.12</v>
      </c>
      <c r="F47" s="15">
        <v>5.7000000000000002E-3</v>
      </c>
      <c r="G47" s="15"/>
    </row>
    <row r="48" spans="1:7" x14ac:dyDescent="0.35">
      <c r="A48" s="12" t="s">
        <v>961</v>
      </c>
      <c r="B48" s="30" t="s">
        <v>962</v>
      </c>
      <c r="C48" s="30" t="s">
        <v>862</v>
      </c>
      <c r="D48" s="13">
        <v>552000</v>
      </c>
      <c r="E48" s="14">
        <v>3167.38</v>
      </c>
      <c r="F48" s="15">
        <v>5.7000000000000002E-3</v>
      </c>
      <c r="G48" s="15"/>
    </row>
    <row r="49" spans="1:7" x14ac:dyDescent="0.35">
      <c r="A49" s="12" t="s">
        <v>963</v>
      </c>
      <c r="B49" s="30" t="s">
        <v>964</v>
      </c>
      <c r="C49" s="30" t="s">
        <v>885</v>
      </c>
      <c r="D49" s="13">
        <v>2635000</v>
      </c>
      <c r="E49" s="14">
        <v>3036.84</v>
      </c>
      <c r="F49" s="15">
        <v>5.4999999999999997E-3</v>
      </c>
      <c r="G49" s="15"/>
    </row>
    <row r="50" spans="1:7" x14ac:dyDescent="0.35">
      <c r="A50" s="12" t="s">
        <v>965</v>
      </c>
      <c r="B50" s="30" t="s">
        <v>966</v>
      </c>
      <c r="C50" s="30" t="s">
        <v>901</v>
      </c>
      <c r="D50" s="13">
        <v>582000</v>
      </c>
      <c r="E50" s="14">
        <v>2935.32</v>
      </c>
      <c r="F50" s="15">
        <v>5.3E-3</v>
      </c>
      <c r="G50" s="15"/>
    </row>
    <row r="51" spans="1:7" x14ac:dyDescent="0.35">
      <c r="A51" s="12" t="s">
        <v>967</v>
      </c>
      <c r="B51" s="30" t="s">
        <v>968</v>
      </c>
      <c r="C51" s="30" t="s">
        <v>953</v>
      </c>
      <c r="D51" s="13">
        <v>1569600</v>
      </c>
      <c r="E51" s="14">
        <v>2601.61</v>
      </c>
      <c r="F51" s="15">
        <v>4.7000000000000002E-3</v>
      </c>
      <c r="G51" s="15"/>
    </row>
    <row r="52" spans="1:7" x14ac:dyDescent="0.35">
      <c r="A52" s="12" t="s">
        <v>969</v>
      </c>
      <c r="B52" s="30" t="s">
        <v>970</v>
      </c>
      <c r="C52" s="30" t="s">
        <v>971</v>
      </c>
      <c r="D52" s="13">
        <v>363150</v>
      </c>
      <c r="E52" s="14">
        <v>2447.4499999999998</v>
      </c>
      <c r="F52" s="15">
        <v>4.4000000000000003E-3</v>
      </c>
      <c r="G52" s="15"/>
    </row>
    <row r="53" spans="1:7" x14ac:dyDescent="0.35">
      <c r="A53" s="12" t="s">
        <v>972</v>
      </c>
      <c r="B53" s="30" t="s">
        <v>973</v>
      </c>
      <c r="C53" s="30" t="s">
        <v>974</v>
      </c>
      <c r="D53" s="13">
        <v>1087900</v>
      </c>
      <c r="E53" s="14">
        <v>2427.65</v>
      </c>
      <c r="F53" s="15">
        <v>4.4000000000000003E-3</v>
      </c>
      <c r="G53" s="15"/>
    </row>
    <row r="54" spans="1:7" x14ac:dyDescent="0.35">
      <c r="A54" s="12" t="s">
        <v>975</v>
      </c>
      <c r="B54" s="30" t="s">
        <v>976</v>
      </c>
      <c r="C54" s="30" t="s">
        <v>911</v>
      </c>
      <c r="D54" s="13">
        <v>154500</v>
      </c>
      <c r="E54" s="14">
        <v>2375.67</v>
      </c>
      <c r="F54" s="15">
        <v>4.3E-3</v>
      </c>
      <c r="G54" s="15"/>
    </row>
    <row r="55" spans="1:7" x14ac:dyDescent="0.35">
      <c r="A55" s="12" t="s">
        <v>977</v>
      </c>
      <c r="B55" s="30" t="s">
        <v>978</v>
      </c>
      <c r="C55" s="30" t="s">
        <v>874</v>
      </c>
      <c r="D55" s="13">
        <v>3349000</v>
      </c>
      <c r="E55" s="14">
        <v>2351</v>
      </c>
      <c r="F55" s="15">
        <v>4.1999999999999997E-3</v>
      </c>
      <c r="G55" s="15"/>
    </row>
    <row r="56" spans="1:7" x14ac:dyDescent="0.35">
      <c r="A56" s="12" t="s">
        <v>979</v>
      </c>
      <c r="B56" s="30" t="s">
        <v>980</v>
      </c>
      <c r="C56" s="30" t="s">
        <v>888</v>
      </c>
      <c r="D56" s="13">
        <v>71750</v>
      </c>
      <c r="E56" s="14">
        <v>2326.1</v>
      </c>
      <c r="F56" s="15">
        <v>4.1999999999999997E-3</v>
      </c>
      <c r="G56" s="15"/>
    </row>
    <row r="57" spans="1:7" x14ac:dyDescent="0.35">
      <c r="A57" s="12" t="s">
        <v>981</v>
      </c>
      <c r="B57" s="30" t="s">
        <v>982</v>
      </c>
      <c r="C57" s="30" t="s">
        <v>983</v>
      </c>
      <c r="D57" s="13">
        <v>189125</v>
      </c>
      <c r="E57" s="14">
        <v>2212.67</v>
      </c>
      <c r="F57" s="15">
        <v>4.0000000000000001E-3</v>
      </c>
      <c r="G57" s="15"/>
    </row>
    <row r="58" spans="1:7" x14ac:dyDescent="0.35">
      <c r="A58" s="12" t="s">
        <v>984</v>
      </c>
      <c r="B58" s="30" t="s">
        <v>985</v>
      </c>
      <c r="C58" s="30" t="s">
        <v>931</v>
      </c>
      <c r="D58" s="13">
        <v>310700</v>
      </c>
      <c r="E58" s="14">
        <v>2203.33</v>
      </c>
      <c r="F58" s="15">
        <v>4.0000000000000001E-3</v>
      </c>
      <c r="G58" s="15"/>
    </row>
    <row r="59" spans="1:7" x14ac:dyDescent="0.35">
      <c r="A59" s="12" t="s">
        <v>986</v>
      </c>
      <c r="B59" s="30" t="s">
        <v>987</v>
      </c>
      <c r="C59" s="30" t="s">
        <v>988</v>
      </c>
      <c r="D59" s="13">
        <v>175000</v>
      </c>
      <c r="E59" s="14">
        <v>2203.16</v>
      </c>
      <c r="F59" s="15">
        <v>4.0000000000000001E-3</v>
      </c>
      <c r="G59" s="15"/>
    </row>
    <row r="60" spans="1:7" x14ac:dyDescent="0.35">
      <c r="A60" s="12" t="s">
        <v>989</v>
      </c>
      <c r="B60" s="30" t="s">
        <v>990</v>
      </c>
      <c r="C60" s="30" t="s">
        <v>885</v>
      </c>
      <c r="D60" s="13">
        <v>305000</v>
      </c>
      <c r="E60" s="14">
        <v>2163.52</v>
      </c>
      <c r="F60" s="15">
        <v>3.8999999999999998E-3</v>
      </c>
      <c r="G60" s="15"/>
    </row>
    <row r="61" spans="1:7" x14ac:dyDescent="0.35">
      <c r="A61" s="12" t="s">
        <v>991</v>
      </c>
      <c r="B61" s="30" t="s">
        <v>992</v>
      </c>
      <c r="C61" s="30" t="s">
        <v>958</v>
      </c>
      <c r="D61" s="13">
        <v>237000</v>
      </c>
      <c r="E61" s="14">
        <v>2076.59</v>
      </c>
      <c r="F61" s="15">
        <v>3.8E-3</v>
      </c>
      <c r="G61" s="15"/>
    </row>
    <row r="62" spans="1:7" x14ac:dyDescent="0.35">
      <c r="A62" s="12" t="s">
        <v>993</v>
      </c>
      <c r="B62" s="30" t="s">
        <v>994</v>
      </c>
      <c r="C62" s="30" t="s">
        <v>995</v>
      </c>
      <c r="D62" s="13">
        <v>477125</v>
      </c>
      <c r="E62" s="14">
        <v>2043.29</v>
      </c>
      <c r="F62" s="15">
        <v>3.7000000000000002E-3</v>
      </c>
      <c r="G62" s="15"/>
    </row>
    <row r="63" spans="1:7" x14ac:dyDescent="0.35">
      <c r="A63" s="12" t="s">
        <v>996</v>
      </c>
      <c r="B63" s="30" t="s">
        <v>997</v>
      </c>
      <c r="C63" s="30" t="s">
        <v>953</v>
      </c>
      <c r="D63" s="13">
        <v>3165750</v>
      </c>
      <c r="E63" s="14">
        <v>2041.91</v>
      </c>
      <c r="F63" s="15">
        <v>3.7000000000000002E-3</v>
      </c>
      <c r="G63" s="15"/>
    </row>
    <row r="64" spans="1:7" x14ac:dyDescent="0.35">
      <c r="A64" s="12" t="s">
        <v>998</v>
      </c>
      <c r="B64" s="30" t="s">
        <v>999</v>
      </c>
      <c r="C64" s="30" t="s">
        <v>943</v>
      </c>
      <c r="D64" s="13">
        <v>373000</v>
      </c>
      <c r="E64" s="14">
        <v>2007.3</v>
      </c>
      <c r="F64" s="15">
        <v>3.5999999999999999E-3</v>
      </c>
      <c r="G64" s="15"/>
    </row>
    <row r="65" spans="1:7" x14ac:dyDescent="0.35">
      <c r="A65" s="12" t="s">
        <v>1000</v>
      </c>
      <c r="B65" s="30" t="s">
        <v>1001</v>
      </c>
      <c r="C65" s="30" t="s">
        <v>931</v>
      </c>
      <c r="D65" s="13">
        <v>78375</v>
      </c>
      <c r="E65" s="14">
        <v>2005.34</v>
      </c>
      <c r="F65" s="15">
        <v>3.5999999999999999E-3</v>
      </c>
      <c r="G65" s="15"/>
    </row>
    <row r="66" spans="1:7" x14ac:dyDescent="0.35">
      <c r="A66" s="12" t="s">
        <v>1002</v>
      </c>
      <c r="B66" s="30" t="s">
        <v>1003</v>
      </c>
      <c r="C66" s="30" t="s">
        <v>937</v>
      </c>
      <c r="D66" s="13">
        <v>1417500</v>
      </c>
      <c r="E66" s="14">
        <v>1983.08</v>
      </c>
      <c r="F66" s="15">
        <v>3.5999999999999999E-3</v>
      </c>
      <c r="G66" s="15"/>
    </row>
    <row r="67" spans="1:7" x14ac:dyDescent="0.35">
      <c r="A67" s="12" t="s">
        <v>1004</v>
      </c>
      <c r="B67" s="30" t="s">
        <v>1005</v>
      </c>
      <c r="C67" s="30" t="s">
        <v>971</v>
      </c>
      <c r="D67" s="13">
        <v>2508000</v>
      </c>
      <c r="E67" s="14">
        <v>1973.8</v>
      </c>
      <c r="F67" s="15">
        <v>3.5999999999999999E-3</v>
      </c>
      <c r="G67" s="15"/>
    </row>
    <row r="68" spans="1:7" x14ac:dyDescent="0.35">
      <c r="A68" s="12" t="s">
        <v>1006</v>
      </c>
      <c r="B68" s="30" t="s">
        <v>1007</v>
      </c>
      <c r="C68" s="30" t="s">
        <v>885</v>
      </c>
      <c r="D68" s="13">
        <v>2409480</v>
      </c>
      <c r="E68" s="14">
        <v>1954.09</v>
      </c>
      <c r="F68" s="15">
        <v>3.5000000000000001E-3</v>
      </c>
      <c r="G68" s="15"/>
    </row>
    <row r="69" spans="1:7" x14ac:dyDescent="0.35">
      <c r="A69" s="12" t="s">
        <v>1008</v>
      </c>
      <c r="B69" s="30" t="s">
        <v>1009</v>
      </c>
      <c r="C69" s="30" t="s">
        <v>1010</v>
      </c>
      <c r="D69" s="13">
        <v>345000</v>
      </c>
      <c r="E69" s="14">
        <v>1913.72</v>
      </c>
      <c r="F69" s="15">
        <v>3.5000000000000001E-3</v>
      </c>
      <c r="G69" s="15"/>
    </row>
    <row r="70" spans="1:7" x14ac:dyDescent="0.35">
      <c r="A70" s="12" t="s">
        <v>1011</v>
      </c>
      <c r="B70" s="30" t="s">
        <v>1012</v>
      </c>
      <c r="C70" s="30" t="s">
        <v>888</v>
      </c>
      <c r="D70" s="13">
        <v>196700</v>
      </c>
      <c r="E70" s="14">
        <v>1892.94</v>
      </c>
      <c r="F70" s="15">
        <v>3.3999999999999998E-3</v>
      </c>
      <c r="G70" s="15"/>
    </row>
    <row r="71" spans="1:7" x14ac:dyDescent="0.35">
      <c r="A71" s="12" t="s">
        <v>1013</v>
      </c>
      <c r="B71" s="30" t="s">
        <v>1014</v>
      </c>
      <c r="C71" s="30" t="s">
        <v>1015</v>
      </c>
      <c r="D71" s="13">
        <v>142675</v>
      </c>
      <c r="E71" s="14">
        <v>1801.99</v>
      </c>
      <c r="F71" s="15">
        <v>3.3E-3</v>
      </c>
      <c r="G71" s="15"/>
    </row>
    <row r="72" spans="1:7" x14ac:dyDescent="0.35">
      <c r="A72" s="12" t="s">
        <v>1016</v>
      </c>
      <c r="B72" s="30" t="s">
        <v>1017</v>
      </c>
      <c r="C72" s="30" t="s">
        <v>958</v>
      </c>
      <c r="D72" s="13">
        <v>64125</v>
      </c>
      <c r="E72" s="14">
        <v>1770.81</v>
      </c>
      <c r="F72" s="15">
        <v>3.2000000000000002E-3</v>
      </c>
      <c r="G72" s="15"/>
    </row>
    <row r="73" spans="1:7" x14ac:dyDescent="0.35">
      <c r="A73" s="12" t="s">
        <v>1018</v>
      </c>
      <c r="B73" s="30" t="s">
        <v>1019</v>
      </c>
      <c r="C73" s="30" t="s">
        <v>885</v>
      </c>
      <c r="D73" s="13">
        <v>1674000</v>
      </c>
      <c r="E73" s="14">
        <v>1762.72</v>
      </c>
      <c r="F73" s="15">
        <v>3.2000000000000002E-3</v>
      </c>
      <c r="G73" s="15"/>
    </row>
    <row r="74" spans="1:7" x14ac:dyDescent="0.35">
      <c r="A74" s="12" t="s">
        <v>1020</v>
      </c>
      <c r="B74" s="30" t="s">
        <v>1021</v>
      </c>
      <c r="C74" s="30" t="s">
        <v>1022</v>
      </c>
      <c r="D74" s="13">
        <v>86400</v>
      </c>
      <c r="E74" s="14">
        <v>1747.96</v>
      </c>
      <c r="F74" s="15">
        <v>3.2000000000000002E-3</v>
      </c>
      <c r="G74" s="15"/>
    </row>
    <row r="75" spans="1:7" x14ac:dyDescent="0.35">
      <c r="A75" s="12" t="s">
        <v>1023</v>
      </c>
      <c r="B75" s="30" t="s">
        <v>1024</v>
      </c>
      <c r="C75" s="30" t="s">
        <v>1025</v>
      </c>
      <c r="D75" s="13">
        <v>8560</v>
      </c>
      <c r="E75" s="14">
        <v>1743.11</v>
      </c>
      <c r="F75" s="15">
        <v>3.0999999999999999E-3</v>
      </c>
      <c r="G75" s="15"/>
    </row>
    <row r="76" spans="1:7" x14ac:dyDescent="0.35">
      <c r="A76" s="12" t="s">
        <v>1026</v>
      </c>
      <c r="B76" s="30" t="s">
        <v>1027</v>
      </c>
      <c r="C76" s="30" t="s">
        <v>974</v>
      </c>
      <c r="D76" s="13">
        <v>514816</v>
      </c>
      <c r="E76" s="14">
        <v>1718.46</v>
      </c>
      <c r="F76" s="15">
        <v>3.0999999999999999E-3</v>
      </c>
      <c r="G76" s="15"/>
    </row>
    <row r="77" spans="1:7" x14ac:dyDescent="0.35">
      <c r="A77" s="12" t="s">
        <v>1028</v>
      </c>
      <c r="B77" s="30" t="s">
        <v>1029</v>
      </c>
      <c r="C77" s="30" t="s">
        <v>908</v>
      </c>
      <c r="D77" s="13">
        <v>70000</v>
      </c>
      <c r="E77" s="14">
        <v>1673.21</v>
      </c>
      <c r="F77" s="15">
        <v>3.0000000000000001E-3</v>
      </c>
      <c r="G77" s="15"/>
    </row>
    <row r="78" spans="1:7" x14ac:dyDescent="0.35">
      <c r="A78" s="12" t="s">
        <v>1030</v>
      </c>
      <c r="B78" s="30" t="s">
        <v>1031</v>
      </c>
      <c r="C78" s="30" t="s">
        <v>983</v>
      </c>
      <c r="D78" s="13">
        <v>308000</v>
      </c>
      <c r="E78" s="14">
        <v>1664.59</v>
      </c>
      <c r="F78" s="15">
        <v>3.0000000000000001E-3</v>
      </c>
      <c r="G78" s="15"/>
    </row>
    <row r="79" spans="1:7" x14ac:dyDescent="0.35">
      <c r="A79" s="12" t="s">
        <v>1032</v>
      </c>
      <c r="B79" s="30" t="s">
        <v>1033</v>
      </c>
      <c r="C79" s="30" t="s">
        <v>922</v>
      </c>
      <c r="D79" s="13">
        <v>204000</v>
      </c>
      <c r="E79" s="14">
        <v>1627.92</v>
      </c>
      <c r="F79" s="15">
        <v>2.8999999999999998E-3</v>
      </c>
      <c r="G79" s="15"/>
    </row>
    <row r="80" spans="1:7" x14ac:dyDescent="0.35">
      <c r="A80" s="12" t="s">
        <v>1034</v>
      </c>
      <c r="B80" s="30" t="s">
        <v>1035</v>
      </c>
      <c r="C80" s="30" t="s">
        <v>958</v>
      </c>
      <c r="D80" s="13">
        <v>88000</v>
      </c>
      <c r="E80" s="14">
        <v>1608.95</v>
      </c>
      <c r="F80" s="15">
        <v>2.8999999999999998E-3</v>
      </c>
      <c r="G80" s="15"/>
    </row>
    <row r="81" spans="1:7" x14ac:dyDescent="0.35">
      <c r="A81" s="12" t="s">
        <v>1036</v>
      </c>
      <c r="B81" s="30" t="s">
        <v>1037</v>
      </c>
      <c r="C81" s="30" t="s">
        <v>888</v>
      </c>
      <c r="D81" s="13">
        <v>478500</v>
      </c>
      <c r="E81" s="14">
        <v>1561.82</v>
      </c>
      <c r="F81" s="15">
        <v>2.8E-3</v>
      </c>
      <c r="G81" s="15"/>
    </row>
    <row r="82" spans="1:7" x14ac:dyDescent="0.35">
      <c r="A82" s="12" t="s">
        <v>1038</v>
      </c>
      <c r="B82" s="30" t="s">
        <v>1039</v>
      </c>
      <c r="C82" s="30" t="s">
        <v>1015</v>
      </c>
      <c r="D82" s="13">
        <v>161700</v>
      </c>
      <c r="E82" s="14">
        <v>1495.16</v>
      </c>
      <c r="F82" s="15">
        <v>2.7000000000000001E-3</v>
      </c>
      <c r="G82" s="15"/>
    </row>
    <row r="83" spans="1:7" x14ac:dyDescent="0.35">
      <c r="A83" s="12" t="s">
        <v>1040</v>
      </c>
      <c r="B83" s="30" t="s">
        <v>1041</v>
      </c>
      <c r="C83" s="30" t="s">
        <v>908</v>
      </c>
      <c r="D83" s="13">
        <v>22000</v>
      </c>
      <c r="E83" s="14">
        <v>1477.29</v>
      </c>
      <c r="F83" s="15">
        <v>2.7000000000000001E-3</v>
      </c>
      <c r="G83" s="15"/>
    </row>
    <row r="84" spans="1:7" x14ac:dyDescent="0.35">
      <c r="A84" s="12" t="s">
        <v>1042</v>
      </c>
      <c r="B84" s="30" t="s">
        <v>1043</v>
      </c>
      <c r="C84" s="30" t="s">
        <v>943</v>
      </c>
      <c r="D84" s="13">
        <v>144900</v>
      </c>
      <c r="E84" s="14">
        <v>1473.49</v>
      </c>
      <c r="F84" s="15">
        <v>2.7000000000000001E-3</v>
      </c>
      <c r="G84" s="15"/>
    </row>
    <row r="85" spans="1:7" x14ac:dyDescent="0.35">
      <c r="A85" s="12" t="s">
        <v>1044</v>
      </c>
      <c r="B85" s="30" t="s">
        <v>1045</v>
      </c>
      <c r="C85" s="30" t="s">
        <v>988</v>
      </c>
      <c r="D85" s="13">
        <v>17080000</v>
      </c>
      <c r="E85" s="14">
        <v>1460.34</v>
      </c>
      <c r="F85" s="15">
        <v>2.5999999999999999E-3</v>
      </c>
      <c r="G85" s="15"/>
    </row>
    <row r="86" spans="1:7" x14ac:dyDescent="0.35">
      <c r="A86" s="12" t="s">
        <v>1046</v>
      </c>
      <c r="B86" s="30" t="s">
        <v>1047</v>
      </c>
      <c r="C86" s="30" t="s">
        <v>1048</v>
      </c>
      <c r="D86" s="13">
        <v>94975</v>
      </c>
      <c r="E86" s="14">
        <v>1451.12</v>
      </c>
      <c r="F86" s="15">
        <v>2.5999999999999999E-3</v>
      </c>
      <c r="G86" s="15"/>
    </row>
    <row r="87" spans="1:7" x14ac:dyDescent="0.35">
      <c r="A87" s="12" t="s">
        <v>1049</v>
      </c>
      <c r="B87" s="30" t="s">
        <v>1050</v>
      </c>
      <c r="C87" s="30" t="s">
        <v>908</v>
      </c>
      <c r="D87" s="13">
        <v>89500</v>
      </c>
      <c r="E87" s="14">
        <v>1432.85</v>
      </c>
      <c r="F87" s="15">
        <v>2.5999999999999999E-3</v>
      </c>
      <c r="G87" s="15"/>
    </row>
    <row r="88" spans="1:7" x14ac:dyDescent="0.35">
      <c r="A88" s="12" t="s">
        <v>1051</v>
      </c>
      <c r="B88" s="30" t="s">
        <v>1052</v>
      </c>
      <c r="C88" s="30" t="s">
        <v>885</v>
      </c>
      <c r="D88" s="13">
        <v>264225</v>
      </c>
      <c r="E88" s="14">
        <v>1385.46</v>
      </c>
      <c r="F88" s="15">
        <v>2.5000000000000001E-3</v>
      </c>
      <c r="G88" s="15"/>
    </row>
    <row r="89" spans="1:7" x14ac:dyDescent="0.35">
      <c r="A89" s="12" t="s">
        <v>1053</v>
      </c>
      <c r="B89" s="30" t="s">
        <v>1054</v>
      </c>
      <c r="C89" s="30" t="s">
        <v>1015</v>
      </c>
      <c r="D89" s="13">
        <v>336600</v>
      </c>
      <c r="E89" s="14">
        <v>1297.5899999999999</v>
      </c>
      <c r="F89" s="15">
        <v>2.3E-3</v>
      </c>
      <c r="G89" s="15"/>
    </row>
    <row r="90" spans="1:7" x14ac:dyDescent="0.35">
      <c r="A90" s="12" t="s">
        <v>1055</v>
      </c>
      <c r="B90" s="30" t="s">
        <v>1056</v>
      </c>
      <c r="C90" s="30" t="s">
        <v>1057</v>
      </c>
      <c r="D90" s="13">
        <v>26625</v>
      </c>
      <c r="E90" s="14">
        <v>1202.78</v>
      </c>
      <c r="F90" s="15">
        <v>2.2000000000000001E-3</v>
      </c>
      <c r="G90" s="15"/>
    </row>
    <row r="91" spans="1:7" x14ac:dyDescent="0.35">
      <c r="A91" s="12" t="s">
        <v>1058</v>
      </c>
      <c r="B91" s="30" t="s">
        <v>1059</v>
      </c>
      <c r="C91" s="30" t="s">
        <v>1060</v>
      </c>
      <c r="D91" s="13">
        <v>421600</v>
      </c>
      <c r="E91" s="14">
        <v>1183.8499999999999</v>
      </c>
      <c r="F91" s="15">
        <v>2.0999999999999999E-3</v>
      </c>
      <c r="G91" s="15"/>
    </row>
    <row r="92" spans="1:7" x14ac:dyDescent="0.35">
      <c r="A92" s="12" t="s">
        <v>1061</v>
      </c>
      <c r="B92" s="30" t="s">
        <v>1062</v>
      </c>
      <c r="C92" s="30" t="s">
        <v>911</v>
      </c>
      <c r="D92" s="13">
        <v>422500</v>
      </c>
      <c r="E92" s="14">
        <v>1144.3399999999999</v>
      </c>
      <c r="F92" s="15">
        <v>2.0999999999999999E-3</v>
      </c>
      <c r="G92" s="15"/>
    </row>
    <row r="93" spans="1:7" x14ac:dyDescent="0.35">
      <c r="A93" s="12" t="s">
        <v>1063</v>
      </c>
      <c r="B93" s="30" t="s">
        <v>1064</v>
      </c>
      <c r="C93" s="30" t="s">
        <v>943</v>
      </c>
      <c r="D93" s="13">
        <v>241200</v>
      </c>
      <c r="E93" s="14">
        <v>1096.3699999999999</v>
      </c>
      <c r="F93" s="15">
        <v>2E-3</v>
      </c>
      <c r="G93" s="15"/>
    </row>
    <row r="94" spans="1:7" x14ac:dyDescent="0.35">
      <c r="A94" s="12" t="s">
        <v>1065</v>
      </c>
      <c r="B94" s="30" t="s">
        <v>1066</v>
      </c>
      <c r="C94" s="30" t="s">
        <v>983</v>
      </c>
      <c r="D94" s="13">
        <v>210000</v>
      </c>
      <c r="E94" s="14">
        <v>1065.8599999999999</v>
      </c>
      <c r="F94" s="15">
        <v>1.9E-3</v>
      </c>
      <c r="G94" s="15"/>
    </row>
    <row r="95" spans="1:7" x14ac:dyDescent="0.35">
      <c r="A95" s="12" t="s">
        <v>1067</v>
      </c>
      <c r="B95" s="30" t="s">
        <v>1068</v>
      </c>
      <c r="C95" s="30" t="s">
        <v>885</v>
      </c>
      <c r="D95" s="13">
        <v>1032000</v>
      </c>
      <c r="E95" s="14">
        <v>1058.32</v>
      </c>
      <c r="F95" s="15">
        <v>1.9E-3</v>
      </c>
      <c r="G95" s="15"/>
    </row>
    <row r="96" spans="1:7" x14ac:dyDescent="0.35">
      <c r="A96" s="12" t="s">
        <v>1069</v>
      </c>
      <c r="B96" s="30" t="s">
        <v>1070</v>
      </c>
      <c r="C96" s="30" t="s">
        <v>1048</v>
      </c>
      <c r="D96" s="13">
        <v>24625</v>
      </c>
      <c r="E96" s="14">
        <v>965.72</v>
      </c>
      <c r="F96" s="15">
        <v>1.6999999999999999E-3</v>
      </c>
      <c r="G96" s="15"/>
    </row>
    <row r="97" spans="1:7" x14ac:dyDescent="0.35">
      <c r="A97" s="12" t="s">
        <v>1071</v>
      </c>
      <c r="B97" s="30" t="s">
        <v>1072</v>
      </c>
      <c r="C97" s="30" t="s">
        <v>953</v>
      </c>
      <c r="D97" s="13">
        <v>311500</v>
      </c>
      <c r="E97" s="14">
        <v>905.53</v>
      </c>
      <c r="F97" s="15">
        <v>1.6000000000000001E-3</v>
      </c>
      <c r="G97" s="15"/>
    </row>
    <row r="98" spans="1:7" x14ac:dyDescent="0.35">
      <c r="A98" s="12" t="s">
        <v>1073</v>
      </c>
      <c r="B98" s="30" t="s">
        <v>1074</v>
      </c>
      <c r="C98" s="30" t="s">
        <v>885</v>
      </c>
      <c r="D98" s="13">
        <v>680000</v>
      </c>
      <c r="E98" s="14">
        <v>879.58</v>
      </c>
      <c r="F98" s="15">
        <v>1.6000000000000001E-3</v>
      </c>
      <c r="G98" s="15"/>
    </row>
    <row r="99" spans="1:7" x14ac:dyDescent="0.35">
      <c r="A99" s="12" t="s">
        <v>1075</v>
      </c>
      <c r="B99" s="30" t="s">
        <v>1076</v>
      </c>
      <c r="C99" s="30" t="s">
        <v>931</v>
      </c>
      <c r="D99" s="13">
        <v>514500</v>
      </c>
      <c r="E99" s="14">
        <v>860.76</v>
      </c>
      <c r="F99" s="15">
        <v>1.6000000000000001E-3</v>
      </c>
      <c r="G99" s="15"/>
    </row>
    <row r="100" spans="1:7" x14ac:dyDescent="0.35">
      <c r="A100" s="12" t="s">
        <v>1077</v>
      </c>
      <c r="B100" s="30" t="s">
        <v>1078</v>
      </c>
      <c r="C100" s="30" t="s">
        <v>862</v>
      </c>
      <c r="D100" s="13">
        <v>650000</v>
      </c>
      <c r="E100" s="14">
        <v>854.75</v>
      </c>
      <c r="F100" s="15">
        <v>1.5E-3</v>
      </c>
      <c r="G100" s="15"/>
    </row>
    <row r="101" spans="1:7" x14ac:dyDescent="0.35">
      <c r="A101" s="12" t="s">
        <v>1079</v>
      </c>
      <c r="B101" s="30" t="s">
        <v>1080</v>
      </c>
      <c r="C101" s="30" t="s">
        <v>862</v>
      </c>
      <c r="D101" s="13">
        <v>345600</v>
      </c>
      <c r="E101" s="14">
        <v>824.43</v>
      </c>
      <c r="F101" s="15">
        <v>1.5E-3</v>
      </c>
      <c r="G101" s="15"/>
    </row>
    <row r="102" spans="1:7" x14ac:dyDescent="0.35">
      <c r="A102" s="12" t="s">
        <v>1081</v>
      </c>
      <c r="B102" s="30" t="s">
        <v>1082</v>
      </c>
      <c r="C102" s="30" t="s">
        <v>862</v>
      </c>
      <c r="D102" s="13">
        <v>1425000</v>
      </c>
      <c r="E102" s="14">
        <v>799.43</v>
      </c>
      <c r="F102" s="15">
        <v>1.4E-3</v>
      </c>
      <c r="G102" s="15"/>
    </row>
    <row r="103" spans="1:7" x14ac:dyDescent="0.35">
      <c r="A103" s="12" t="s">
        <v>1083</v>
      </c>
      <c r="B103" s="30" t="s">
        <v>1084</v>
      </c>
      <c r="C103" s="30" t="s">
        <v>943</v>
      </c>
      <c r="D103" s="13">
        <v>292100</v>
      </c>
      <c r="E103" s="14">
        <v>788.23</v>
      </c>
      <c r="F103" s="15">
        <v>1.4E-3</v>
      </c>
      <c r="G103" s="15"/>
    </row>
    <row r="104" spans="1:7" x14ac:dyDescent="0.35">
      <c r="A104" s="12" t="s">
        <v>1085</v>
      </c>
      <c r="B104" s="30" t="s">
        <v>1086</v>
      </c>
      <c r="C104" s="30" t="s">
        <v>983</v>
      </c>
      <c r="D104" s="13">
        <v>669600</v>
      </c>
      <c r="E104" s="14">
        <v>782.43</v>
      </c>
      <c r="F104" s="15">
        <v>1.4E-3</v>
      </c>
      <c r="G104" s="15"/>
    </row>
    <row r="105" spans="1:7" x14ac:dyDescent="0.35">
      <c r="A105" s="12" t="s">
        <v>1087</v>
      </c>
      <c r="B105" s="30" t="s">
        <v>1088</v>
      </c>
      <c r="C105" s="30" t="s">
        <v>931</v>
      </c>
      <c r="D105" s="13">
        <v>15975</v>
      </c>
      <c r="E105" s="14">
        <v>727.14</v>
      </c>
      <c r="F105" s="15">
        <v>1.2999999999999999E-3</v>
      </c>
      <c r="G105" s="15"/>
    </row>
    <row r="106" spans="1:7" x14ac:dyDescent="0.35">
      <c r="A106" s="12" t="s">
        <v>1089</v>
      </c>
      <c r="B106" s="30" t="s">
        <v>1090</v>
      </c>
      <c r="C106" s="30" t="s">
        <v>940</v>
      </c>
      <c r="D106" s="13">
        <v>34925</v>
      </c>
      <c r="E106" s="14">
        <v>709.38</v>
      </c>
      <c r="F106" s="15">
        <v>1.2999999999999999E-3</v>
      </c>
      <c r="G106" s="15"/>
    </row>
    <row r="107" spans="1:7" x14ac:dyDescent="0.35">
      <c r="A107" s="12" t="s">
        <v>1091</v>
      </c>
      <c r="B107" s="30" t="s">
        <v>1092</v>
      </c>
      <c r="C107" s="30" t="s">
        <v>934</v>
      </c>
      <c r="D107" s="13">
        <v>23250</v>
      </c>
      <c r="E107" s="14">
        <v>709.07</v>
      </c>
      <c r="F107" s="15">
        <v>1.2999999999999999E-3</v>
      </c>
      <c r="G107" s="15"/>
    </row>
    <row r="108" spans="1:7" x14ac:dyDescent="0.35">
      <c r="A108" s="12" t="s">
        <v>1093</v>
      </c>
      <c r="B108" s="30" t="s">
        <v>1094</v>
      </c>
      <c r="C108" s="30" t="s">
        <v>908</v>
      </c>
      <c r="D108" s="13">
        <v>290000</v>
      </c>
      <c r="E108" s="14">
        <v>699.19</v>
      </c>
      <c r="F108" s="15">
        <v>1.2999999999999999E-3</v>
      </c>
      <c r="G108" s="15"/>
    </row>
    <row r="109" spans="1:7" x14ac:dyDescent="0.35">
      <c r="A109" s="12" t="s">
        <v>1095</v>
      </c>
      <c r="B109" s="30" t="s">
        <v>1096</v>
      </c>
      <c r="C109" s="30" t="s">
        <v>1097</v>
      </c>
      <c r="D109" s="13">
        <v>220800</v>
      </c>
      <c r="E109" s="14">
        <v>697.62</v>
      </c>
      <c r="F109" s="15">
        <v>1.2999999999999999E-3</v>
      </c>
      <c r="G109" s="15"/>
    </row>
    <row r="110" spans="1:7" x14ac:dyDescent="0.35">
      <c r="A110" s="12" t="s">
        <v>1098</v>
      </c>
      <c r="B110" s="30" t="s">
        <v>1099</v>
      </c>
      <c r="C110" s="30" t="s">
        <v>885</v>
      </c>
      <c r="D110" s="13">
        <v>170000</v>
      </c>
      <c r="E110" s="14">
        <v>689.01</v>
      </c>
      <c r="F110" s="15">
        <v>1.1999999999999999E-3</v>
      </c>
      <c r="G110" s="15"/>
    </row>
    <row r="111" spans="1:7" x14ac:dyDescent="0.35">
      <c r="A111" s="12" t="s">
        <v>1100</v>
      </c>
      <c r="B111" s="30" t="s">
        <v>1101</v>
      </c>
      <c r="C111" s="30" t="s">
        <v>859</v>
      </c>
      <c r="D111" s="13">
        <v>1800000</v>
      </c>
      <c r="E111" s="14">
        <v>674.1</v>
      </c>
      <c r="F111" s="15">
        <v>1.1999999999999999E-3</v>
      </c>
      <c r="G111" s="15"/>
    </row>
    <row r="112" spans="1:7" x14ac:dyDescent="0.35">
      <c r="A112" s="12" t="s">
        <v>1102</v>
      </c>
      <c r="B112" s="30" t="s">
        <v>1103</v>
      </c>
      <c r="C112" s="30" t="s">
        <v>911</v>
      </c>
      <c r="D112" s="13">
        <v>17850</v>
      </c>
      <c r="E112" s="14">
        <v>659.21</v>
      </c>
      <c r="F112" s="15">
        <v>1.1999999999999999E-3</v>
      </c>
      <c r="G112" s="15"/>
    </row>
    <row r="113" spans="1:7" x14ac:dyDescent="0.35">
      <c r="A113" s="12" t="s">
        <v>1104</v>
      </c>
      <c r="B113" s="30" t="s">
        <v>1105</v>
      </c>
      <c r="C113" s="30" t="s">
        <v>911</v>
      </c>
      <c r="D113" s="13">
        <v>22600</v>
      </c>
      <c r="E113" s="14">
        <v>658.3</v>
      </c>
      <c r="F113" s="15">
        <v>1.1999999999999999E-3</v>
      </c>
      <c r="G113" s="15"/>
    </row>
    <row r="114" spans="1:7" x14ac:dyDescent="0.35">
      <c r="A114" s="12" t="s">
        <v>1106</v>
      </c>
      <c r="B114" s="30" t="s">
        <v>1107</v>
      </c>
      <c r="C114" s="30" t="s">
        <v>983</v>
      </c>
      <c r="D114" s="13">
        <v>51000</v>
      </c>
      <c r="E114" s="14">
        <v>645.63</v>
      </c>
      <c r="F114" s="15">
        <v>1.1999999999999999E-3</v>
      </c>
      <c r="G114" s="15"/>
    </row>
    <row r="115" spans="1:7" x14ac:dyDescent="0.35">
      <c r="A115" s="12" t="s">
        <v>1108</v>
      </c>
      <c r="B115" s="30" t="s">
        <v>1109</v>
      </c>
      <c r="C115" s="30" t="s">
        <v>1057</v>
      </c>
      <c r="D115" s="13">
        <v>102000</v>
      </c>
      <c r="E115" s="14">
        <v>643.92999999999995</v>
      </c>
      <c r="F115" s="15">
        <v>1.1999999999999999E-3</v>
      </c>
      <c r="G115" s="15"/>
    </row>
    <row r="116" spans="1:7" x14ac:dyDescent="0.35">
      <c r="A116" s="12" t="s">
        <v>1110</v>
      </c>
      <c r="B116" s="30" t="s">
        <v>1111</v>
      </c>
      <c r="C116" s="30" t="s">
        <v>898</v>
      </c>
      <c r="D116" s="13">
        <v>56000</v>
      </c>
      <c r="E116" s="14">
        <v>641.79</v>
      </c>
      <c r="F116" s="15">
        <v>1.1999999999999999E-3</v>
      </c>
      <c r="G116" s="15"/>
    </row>
    <row r="117" spans="1:7" x14ac:dyDescent="0.35">
      <c r="A117" s="12" t="s">
        <v>1112</v>
      </c>
      <c r="B117" s="30" t="s">
        <v>1113</v>
      </c>
      <c r="C117" s="30" t="s">
        <v>908</v>
      </c>
      <c r="D117" s="13">
        <v>36575</v>
      </c>
      <c r="E117" s="14">
        <v>629.71</v>
      </c>
      <c r="F117" s="15">
        <v>1.1000000000000001E-3</v>
      </c>
      <c r="G117" s="15"/>
    </row>
    <row r="118" spans="1:7" x14ac:dyDescent="0.35">
      <c r="A118" s="12" t="s">
        <v>1114</v>
      </c>
      <c r="B118" s="30" t="s">
        <v>1115</v>
      </c>
      <c r="C118" s="30" t="s">
        <v>943</v>
      </c>
      <c r="D118" s="13">
        <v>13500</v>
      </c>
      <c r="E118" s="14">
        <v>598.54999999999995</v>
      </c>
      <c r="F118" s="15">
        <v>1.1000000000000001E-3</v>
      </c>
      <c r="G118" s="15"/>
    </row>
    <row r="119" spans="1:7" x14ac:dyDescent="0.35">
      <c r="A119" s="12" t="s">
        <v>1116</v>
      </c>
      <c r="B119" s="30" t="s">
        <v>1117</v>
      </c>
      <c r="C119" s="30" t="s">
        <v>958</v>
      </c>
      <c r="D119" s="13">
        <v>18800</v>
      </c>
      <c r="E119" s="14">
        <v>584.25</v>
      </c>
      <c r="F119" s="15">
        <v>1.1000000000000001E-3</v>
      </c>
      <c r="G119" s="15"/>
    </row>
    <row r="120" spans="1:7" x14ac:dyDescent="0.35">
      <c r="A120" s="12" t="s">
        <v>1118</v>
      </c>
      <c r="B120" s="30" t="s">
        <v>1119</v>
      </c>
      <c r="C120" s="30" t="s">
        <v>995</v>
      </c>
      <c r="D120" s="13">
        <v>257500</v>
      </c>
      <c r="E120" s="14">
        <v>582.34</v>
      </c>
      <c r="F120" s="15">
        <v>1.1000000000000001E-3</v>
      </c>
      <c r="G120" s="15"/>
    </row>
    <row r="121" spans="1:7" x14ac:dyDescent="0.35">
      <c r="A121" s="12" t="s">
        <v>1120</v>
      </c>
      <c r="B121" s="30" t="s">
        <v>1121</v>
      </c>
      <c r="C121" s="30" t="s">
        <v>983</v>
      </c>
      <c r="D121" s="13">
        <v>81900</v>
      </c>
      <c r="E121" s="14">
        <v>579.89</v>
      </c>
      <c r="F121" s="15">
        <v>1E-3</v>
      </c>
      <c r="G121" s="15"/>
    </row>
    <row r="122" spans="1:7" x14ac:dyDescent="0.35">
      <c r="A122" s="12" t="s">
        <v>1122</v>
      </c>
      <c r="B122" s="30" t="s">
        <v>1123</v>
      </c>
      <c r="C122" s="30" t="s">
        <v>911</v>
      </c>
      <c r="D122" s="13">
        <v>27825</v>
      </c>
      <c r="E122" s="14">
        <v>550.52</v>
      </c>
      <c r="F122" s="15">
        <v>1E-3</v>
      </c>
      <c r="G122" s="15"/>
    </row>
    <row r="123" spans="1:7" x14ac:dyDescent="0.35">
      <c r="A123" s="12" t="s">
        <v>1124</v>
      </c>
      <c r="B123" s="30" t="s">
        <v>1125</v>
      </c>
      <c r="C123" s="30" t="s">
        <v>898</v>
      </c>
      <c r="D123" s="13">
        <v>39200</v>
      </c>
      <c r="E123" s="14">
        <v>528.65</v>
      </c>
      <c r="F123" s="15">
        <v>1E-3</v>
      </c>
      <c r="G123" s="15"/>
    </row>
    <row r="124" spans="1:7" x14ac:dyDescent="0.35">
      <c r="A124" s="12" t="s">
        <v>1126</v>
      </c>
      <c r="B124" s="30" t="s">
        <v>1127</v>
      </c>
      <c r="C124" s="30" t="s">
        <v>1128</v>
      </c>
      <c r="D124" s="13">
        <v>210000</v>
      </c>
      <c r="E124" s="14">
        <v>516.5</v>
      </c>
      <c r="F124" s="15">
        <v>8.9999999999999998E-4</v>
      </c>
      <c r="G124" s="15"/>
    </row>
    <row r="125" spans="1:7" x14ac:dyDescent="0.35">
      <c r="A125" s="12" t="s">
        <v>1129</v>
      </c>
      <c r="B125" s="30" t="s">
        <v>1130</v>
      </c>
      <c r="C125" s="30" t="s">
        <v>995</v>
      </c>
      <c r="D125" s="13">
        <v>246000</v>
      </c>
      <c r="E125" s="14">
        <v>505.65</v>
      </c>
      <c r="F125" s="15">
        <v>8.9999999999999998E-4</v>
      </c>
      <c r="G125" s="15"/>
    </row>
    <row r="126" spans="1:7" x14ac:dyDescent="0.35">
      <c r="A126" s="12" t="s">
        <v>1131</v>
      </c>
      <c r="B126" s="30" t="s">
        <v>1132</v>
      </c>
      <c r="C126" s="30" t="s">
        <v>868</v>
      </c>
      <c r="D126" s="13">
        <v>24750</v>
      </c>
      <c r="E126" s="14">
        <v>504.49</v>
      </c>
      <c r="F126" s="15">
        <v>8.9999999999999998E-4</v>
      </c>
      <c r="G126" s="15"/>
    </row>
    <row r="127" spans="1:7" x14ac:dyDescent="0.35">
      <c r="A127" s="12" t="s">
        <v>1133</v>
      </c>
      <c r="B127" s="30" t="s">
        <v>1134</v>
      </c>
      <c r="C127" s="30" t="s">
        <v>971</v>
      </c>
      <c r="D127" s="13">
        <v>106250</v>
      </c>
      <c r="E127" s="14">
        <v>488.59</v>
      </c>
      <c r="F127" s="15">
        <v>8.9999999999999998E-4</v>
      </c>
      <c r="G127" s="15"/>
    </row>
    <row r="128" spans="1:7" x14ac:dyDescent="0.35">
      <c r="A128" s="12" t="s">
        <v>1135</v>
      </c>
      <c r="B128" s="30" t="s">
        <v>1136</v>
      </c>
      <c r="C128" s="30" t="s">
        <v>874</v>
      </c>
      <c r="D128" s="13">
        <v>451500</v>
      </c>
      <c r="E128" s="14">
        <v>465.05</v>
      </c>
      <c r="F128" s="15">
        <v>8.0000000000000004E-4</v>
      </c>
      <c r="G128" s="15"/>
    </row>
    <row r="129" spans="1:7" x14ac:dyDescent="0.35">
      <c r="A129" s="12" t="s">
        <v>1137</v>
      </c>
      <c r="B129" s="30" t="s">
        <v>1138</v>
      </c>
      <c r="C129" s="30" t="s">
        <v>898</v>
      </c>
      <c r="D129" s="13">
        <v>112575</v>
      </c>
      <c r="E129" s="14">
        <v>464.65</v>
      </c>
      <c r="F129" s="15">
        <v>8.0000000000000004E-4</v>
      </c>
      <c r="G129" s="15"/>
    </row>
    <row r="130" spans="1:7" x14ac:dyDescent="0.35">
      <c r="A130" s="12" t="s">
        <v>1139</v>
      </c>
      <c r="B130" s="30" t="s">
        <v>1140</v>
      </c>
      <c r="C130" s="30" t="s">
        <v>943</v>
      </c>
      <c r="D130" s="13">
        <v>59500</v>
      </c>
      <c r="E130" s="14">
        <v>415.91</v>
      </c>
      <c r="F130" s="15">
        <v>8.0000000000000004E-4</v>
      </c>
      <c r="G130" s="15"/>
    </row>
    <row r="131" spans="1:7" x14ac:dyDescent="0.35">
      <c r="A131" s="12" t="s">
        <v>1141</v>
      </c>
      <c r="B131" s="30" t="s">
        <v>1142</v>
      </c>
      <c r="C131" s="30" t="s">
        <v>931</v>
      </c>
      <c r="D131" s="13">
        <v>4725</v>
      </c>
      <c r="E131" s="14">
        <v>395.64</v>
      </c>
      <c r="F131" s="15">
        <v>6.9999999999999999E-4</v>
      </c>
      <c r="G131" s="15"/>
    </row>
    <row r="132" spans="1:7" x14ac:dyDescent="0.35">
      <c r="A132" s="12" t="s">
        <v>1143</v>
      </c>
      <c r="B132" s="30" t="s">
        <v>1144</v>
      </c>
      <c r="C132" s="30" t="s">
        <v>950</v>
      </c>
      <c r="D132" s="13">
        <v>15300</v>
      </c>
      <c r="E132" s="14">
        <v>390.26</v>
      </c>
      <c r="F132" s="15">
        <v>6.9999999999999999E-4</v>
      </c>
      <c r="G132" s="15"/>
    </row>
    <row r="133" spans="1:7" x14ac:dyDescent="0.35">
      <c r="A133" s="12" t="s">
        <v>1145</v>
      </c>
      <c r="B133" s="30" t="s">
        <v>1146</v>
      </c>
      <c r="C133" s="30" t="s">
        <v>943</v>
      </c>
      <c r="D133" s="13">
        <v>41600</v>
      </c>
      <c r="E133" s="14">
        <v>376.52</v>
      </c>
      <c r="F133" s="15">
        <v>6.9999999999999999E-4</v>
      </c>
      <c r="G133" s="15"/>
    </row>
    <row r="134" spans="1:7" x14ac:dyDescent="0.35">
      <c r="A134" s="12" t="s">
        <v>1147</v>
      </c>
      <c r="B134" s="30" t="s">
        <v>1148</v>
      </c>
      <c r="C134" s="30" t="s">
        <v>953</v>
      </c>
      <c r="D134" s="13">
        <v>71000</v>
      </c>
      <c r="E134" s="14">
        <v>364.27</v>
      </c>
      <c r="F134" s="15">
        <v>6.9999999999999999E-4</v>
      </c>
      <c r="G134" s="15"/>
    </row>
    <row r="135" spans="1:7" x14ac:dyDescent="0.35">
      <c r="A135" s="12" t="s">
        <v>1149</v>
      </c>
      <c r="B135" s="30" t="s">
        <v>1150</v>
      </c>
      <c r="C135" s="30" t="s">
        <v>943</v>
      </c>
      <c r="D135" s="13">
        <v>87400</v>
      </c>
      <c r="E135" s="14">
        <v>353.58</v>
      </c>
      <c r="F135" s="15">
        <v>5.9999999999999995E-4</v>
      </c>
      <c r="G135" s="15"/>
    </row>
    <row r="136" spans="1:7" x14ac:dyDescent="0.35">
      <c r="A136" s="12" t="s">
        <v>1151</v>
      </c>
      <c r="B136" s="30" t="s">
        <v>1152</v>
      </c>
      <c r="C136" s="30" t="s">
        <v>943</v>
      </c>
      <c r="D136" s="13">
        <v>9450</v>
      </c>
      <c r="E136" s="14">
        <v>341.04</v>
      </c>
      <c r="F136" s="15">
        <v>5.9999999999999995E-4</v>
      </c>
      <c r="G136" s="15"/>
    </row>
    <row r="137" spans="1:7" x14ac:dyDescent="0.35">
      <c r="A137" s="12" t="s">
        <v>1153</v>
      </c>
      <c r="B137" s="30" t="s">
        <v>1154</v>
      </c>
      <c r="C137" s="30" t="s">
        <v>865</v>
      </c>
      <c r="D137" s="13">
        <v>153900</v>
      </c>
      <c r="E137" s="14">
        <v>329.12</v>
      </c>
      <c r="F137" s="15">
        <v>5.9999999999999995E-4</v>
      </c>
      <c r="G137" s="15"/>
    </row>
    <row r="138" spans="1:7" x14ac:dyDescent="0.35">
      <c r="A138" s="12" t="s">
        <v>1155</v>
      </c>
      <c r="B138" s="30" t="s">
        <v>1156</v>
      </c>
      <c r="C138" s="30" t="s">
        <v>1010</v>
      </c>
      <c r="D138" s="13">
        <v>50400</v>
      </c>
      <c r="E138" s="14">
        <v>264.37</v>
      </c>
      <c r="F138" s="15">
        <v>5.0000000000000001E-4</v>
      </c>
      <c r="G138" s="15"/>
    </row>
    <row r="139" spans="1:7" x14ac:dyDescent="0.35">
      <c r="A139" s="12" t="s">
        <v>1157</v>
      </c>
      <c r="B139" s="30" t="s">
        <v>1158</v>
      </c>
      <c r="C139" s="30" t="s">
        <v>953</v>
      </c>
      <c r="D139" s="13">
        <v>12300</v>
      </c>
      <c r="E139" s="14">
        <v>241.42</v>
      </c>
      <c r="F139" s="15">
        <v>4.0000000000000002E-4</v>
      </c>
      <c r="G139" s="15"/>
    </row>
    <row r="140" spans="1:7" x14ac:dyDescent="0.35">
      <c r="A140" s="12" t="s">
        <v>1159</v>
      </c>
      <c r="B140" s="30" t="s">
        <v>1160</v>
      </c>
      <c r="C140" s="30" t="s">
        <v>931</v>
      </c>
      <c r="D140" s="13">
        <v>7750</v>
      </c>
      <c r="E140" s="14">
        <v>200.29</v>
      </c>
      <c r="F140" s="15">
        <v>4.0000000000000002E-4</v>
      </c>
      <c r="G140" s="15"/>
    </row>
    <row r="141" spans="1:7" x14ac:dyDescent="0.35">
      <c r="A141" s="12" t="s">
        <v>1161</v>
      </c>
      <c r="B141" s="30" t="s">
        <v>1162</v>
      </c>
      <c r="C141" s="30" t="s">
        <v>995</v>
      </c>
      <c r="D141" s="13">
        <v>21600</v>
      </c>
      <c r="E141" s="14">
        <v>186.12</v>
      </c>
      <c r="F141" s="15">
        <v>2.9999999999999997E-4</v>
      </c>
      <c r="G141" s="15"/>
    </row>
    <row r="142" spans="1:7" x14ac:dyDescent="0.35">
      <c r="A142" s="12" t="s">
        <v>1163</v>
      </c>
      <c r="B142" s="30" t="s">
        <v>1164</v>
      </c>
      <c r="C142" s="30" t="s">
        <v>958</v>
      </c>
      <c r="D142" s="13">
        <v>15000</v>
      </c>
      <c r="E142" s="14">
        <v>182.45</v>
      </c>
      <c r="F142" s="15">
        <v>2.9999999999999997E-4</v>
      </c>
      <c r="G142" s="15"/>
    </row>
    <row r="143" spans="1:7" x14ac:dyDescent="0.35">
      <c r="A143" s="12" t="s">
        <v>1165</v>
      </c>
      <c r="B143" s="30" t="s">
        <v>1166</v>
      </c>
      <c r="C143" s="30" t="s">
        <v>1048</v>
      </c>
      <c r="D143" s="13">
        <v>49400</v>
      </c>
      <c r="E143" s="14">
        <v>174.83</v>
      </c>
      <c r="F143" s="15">
        <v>2.9999999999999997E-4</v>
      </c>
      <c r="G143" s="15"/>
    </row>
    <row r="144" spans="1:7" x14ac:dyDescent="0.35">
      <c r="A144" s="12" t="s">
        <v>1167</v>
      </c>
      <c r="B144" s="30" t="s">
        <v>1168</v>
      </c>
      <c r="C144" s="30" t="s">
        <v>974</v>
      </c>
      <c r="D144" s="13">
        <v>27500</v>
      </c>
      <c r="E144" s="14">
        <v>167.74</v>
      </c>
      <c r="F144" s="15">
        <v>2.9999999999999997E-4</v>
      </c>
      <c r="G144" s="15"/>
    </row>
    <row r="145" spans="1:7" x14ac:dyDescent="0.35">
      <c r="A145" s="12" t="s">
        <v>1169</v>
      </c>
      <c r="B145" s="30" t="s">
        <v>1170</v>
      </c>
      <c r="C145" s="30" t="s">
        <v>901</v>
      </c>
      <c r="D145" s="13">
        <v>79800</v>
      </c>
      <c r="E145" s="14">
        <v>138.13</v>
      </c>
      <c r="F145" s="15">
        <v>2.0000000000000001E-4</v>
      </c>
      <c r="G145" s="15"/>
    </row>
    <row r="146" spans="1:7" x14ac:dyDescent="0.35">
      <c r="A146" s="12" t="s">
        <v>1171</v>
      </c>
      <c r="B146" s="30" t="s">
        <v>1172</v>
      </c>
      <c r="C146" s="30" t="s">
        <v>971</v>
      </c>
      <c r="D146" s="13">
        <v>123250</v>
      </c>
      <c r="E146" s="14">
        <v>125.16</v>
      </c>
      <c r="F146" s="15">
        <v>2.0000000000000001E-4</v>
      </c>
      <c r="G146" s="15"/>
    </row>
    <row r="147" spans="1:7" x14ac:dyDescent="0.35">
      <c r="A147" s="12" t="s">
        <v>1173</v>
      </c>
      <c r="B147" s="30" t="s">
        <v>1174</v>
      </c>
      <c r="C147" s="30" t="s">
        <v>1175</v>
      </c>
      <c r="D147" s="13">
        <v>109200</v>
      </c>
      <c r="E147" s="14">
        <v>113.4</v>
      </c>
      <c r="F147" s="15">
        <v>2.0000000000000001E-4</v>
      </c>
      <c r="G147" s="15"/>
    </row>
    <row r="148" spans="1:7" x14ac:dyDescent="0.35">
      <c r="A148" s="12" t="s">
        <v>1176</v>
      </c>
      <c r="B148" s="30" t="s">
        <v>1177</v>
      </c>
      <c r="C148" s="30" t="s">
        <v>865</v>
      </c>
      <c r="D148" s="13">
        <v>36000</v>
      </c>
      <c r="E148" s="14">
        <v>109.31</v>
      </c>
      <c r="F148" s="15">
        <v>2.0000000000000001E-4</v>
      </c>
      <c r="G148" s="15"/>
    </row>
    <row r="149" spans="1:7" x14ac:dyDescent="0.35">
      <c r="A149" s="12" t="s">
        <v>1178</v>
      </c>
      <c r="B149" s="30" t="s">
        <v>1179</v>
      </c>
      <c r="C149" s="30" t="s">
        <v>940</v>
      </c>
      <c r="D149" s="13">
        <v>12000</v>
      </c>
      <c r="E149" s="14">
        <v>100.1</v>
      </c>
      <c r="F149" s="15">
        <v>2.0000000000000001E-4</v>
      </c>
      <c r="G149" s="15"/>
    </row>
    <row r="150" spans="1:7" x14ac:dyDescent="0.35">
      <c r="A150" s="12" t="s">
        <v>1180</v>
      </c>
      <c r="B150" s="30" t="s">
        <v>1181</v>
      </c>
      <c r="C150" s="30" t="s">
        <v>958</v>
      </c>
      <c r="D150" s="13">
        <v>27000</v>
      </c>
      <c r="E150" s="14">
        <v>97.82</v>
      </c>
      <c r="F150" s="15">
        <v>2.0000000000000001E-4</v>
      </c>
      <c r="G150" s="15"/>
    </row>
    <row r="151" spans="1:7" x14ac:dyDescent="0.35">
      <c r="A151" s="12" t="s">
        <v>1182</v>
      </c>
      <c r="B151" s="30" t="s">
        <v>1183</v>
      </c>
      <c r="C151" s="30" t="s">
        <v>943</v>
      </c>
      <c r="D151" s="13">
        <v>480</v>
      </c>
      <c r="E151" s="14">
        <v>92.39</v>
      </c>
      <c r="F151" s="15">
        <v>2.0000000000000001E-4</v>
      </c>
      <c r="G151" s="15"/>
    </row>
    <row r="152" spans="1:7" x14ac:dyDescent="0.35">
      <c r="A152" s="12" t="s">
        <v>1184</v>
      </c>
      <c r="B152" s="30" t="s">
        <v>1185</v>
      </c>
      <c r="C152" s="30" t="s">
        <v>1186</v>
      </c>
      <c r="D152" s="13">
        <v>57750</v>
      </c>
      <c r="E152" s="14">
        <v>77.41</v>
      </c>
      <c r="F152" s="15">
        <v>1E-4</v>
      </c>
      <c r="G152" s="15"/>
    </row>
    <row r="153" spans="1:7" x14ac:dyDescent="0.35">
      <c r="A153" s="12" t="s">
        <v>1187</v>
      </c>
      <c r="B153" s="30" t="s">
        <v>1188</v>
      </c>
      <c r="C153" s="30" t="s">
        <v>943</v>
      </c>
      <c r="D153" s="13">
        <v>2000</v>
      </c>
      <c r="E153" s="14">
        <v>63.1</v>
      </c>
      <c r="F153" s="15">
        <v>1E-4</v>
      </c>
      <c r="G153" s="15"/>
    </row>
    <row r="154" spans="1:7" x14ac:dyDescent="0.35">
      <c r="A154" s="12" t="s">
        <v>1189</v>
      </c>
      <c r="B154" s="30" t="s">
        <v>1190</v>
      </c>
      <c r="C154" s="30" t="s">
        <v>911</v>
      </c>
      <c r="D154" s="13">
        <v>9000</v>
      </c>
      <c r="E154" s="14">
        <v>38.840000000000003</v>
      </c>
      <c r="F154" s="15">
        <v>1E-4</v>
      </c>
      <c r="G154" s="15"/>
    </row>
    <row r="155" spans="1:7" x14ac:dyDescent="0.35">
      <c r="A155" s="12" t="s">
        <v>1191</v>
      </c>
      <c r="B155" s="30" t="s">
        <v>1192</v>
      </c>
      <c r="C155" s="30" t="s">
        <v>943</v>
      </c>
      <c r="D155" s="13">
        <v>10000</v>
      </c>
      <c r="E155" s="14">
        <v>37.270000000000003</v>
      </c>
      <c r="F155" s="15">
        <v>1E-4</v>
      </c>
      <c r="G155" s="15"/>
    </row>
    <row r="156" spans="1:7" x14ac:dyDescent="0.35">
      <c r="A156" s="12" t="s">
        <v>1193</v>
      </c>
      <c r="B156" s="30" t="s">
        <v>1194</v>
      </c>
      <c r="C156" s="30" t="s">
        <v>943</v>
      </c>
      <c r="D156" s="13">
        <v>2000</v>
      </c>
      <c r="E156" s="14">
        <v>33</v>
      </c>
      <c r="F156" s="15">
        <v>1E-4</v>
      </c>
      <c r="G156" s="15"/>
    </row>
    <row r="157" spans="1:7" x14ac:dyDescent="0.35">
      <c r="A157" s="12" t="s">
        <v>1195</v>
      </c>
      <c r="B157" s="30" t="s">
        <v>1196</v>
      </c>
      <c r="C157" s="30" t="s">
        <v>995</v>
      </c>
      <c r="D157" s="13">
        <v>6250</v>
      </c>
      <c r="E157" s="14">
        <v>32.409999999999997</v>
      </c>
      <c r="F157" s="15">
        <v>1E-4</v>
      </c>
      <c r="G157" s="15"/>
    </row>
    <row r="158" spans="1:7" x14ac:dyDescent="0.35">
      <c r="A158" s="12" t="s">
        <v>1197</v>
      </c>
      <c r="B158" s="30" t="s">
        <v>1198</v>
      </c>
      <c r="C158" s="30" t="s">
        <v>1199</v>
      </c>
      <c r="D158" s="13">
        <v>60</v>
      </c>
      <c r="E158" s="14">
        <v>29.86</v>
      </c>
      <c r="F158" s="15">
        <v>1E-4</v>
      </c>
      <c r="G158" s="15"/>
    </row>
    <row r="159" spans="1:7" x14ac:dyDescent="0.35">
      <c r="A159" s="12" t="s">
        <v>1200</v>
      </c>
      <c r="B159" s="30" t="s">
        <v>1201</v>
      </c>
      <c r="C159" s="30" t="s">
        <v>893</v>
      </c>
      <c r="D159" s="13">
        <v>1200</v>
      </c>
      <c r="E159" s="14">
        <v>19.829999999999998</v>
      </c>
      <c r="F159" s="15">
        <v>0</v>
      </c>
      <c r="G159" s="15"/>
    </row>
    <row r="160" spans="1:7" x14ac:dyDescent="0.35">
      <c r="A160" s="12" t="s">
        <v>1202</v>
      </c>
      <c r="B160" s="30" t="s">
        <v>1203</v>
      </c>
      <c r="C160" s="30" t="s">
        <v>1010</v>
      </c>
      <c r="D160" s="13">
        <v>1050</v>
      </c>
      <c r="E160" s="14">
        <v>17.13</v>
      </c>
      <c r="F160" s="15">
        <v>0</v>
      </c>
      <c r="G160" s="15"/>
    </row>
    <row r="161" spans="1:7" x14ac:dyDescent="0.35">
      <c r="A161" s="12" t="s">
        <v>1204</v>
      </c>
      <c r="B161" s="30" t="s">
        <v>1205</v>
      </c>
      <c r="C161" s="30" t="s">
        <v>958</v>
      </c>
      <c r="D161" s="13">
        <v>700</v>
      </c>
      <c r="E161" s="14">
        <v>11.03</v>
      </c>
      <c r="F161" s="15">
        <v>0</v>
      </c>
      <c r="G161" s="15"/>
    </row>
    <row r="162" spans="1:7" x14ac:dyDescent="0.35">
      <c r="A162" s="16" t="s">
        <v>102</v>
      </c>
      <c r="B162" s="31"/>
      <c r="C162" s="31"/>
      <c r="D162" s="17"/>
      <c r="E162" s="37">
        <v>400297.08</v>
      </c>
      <c r="F162" s="38">
        <v>0.72350000000000003</v>
      </c>
      <c r="G162" s="20"/>
    </row>
    <row r="163" spans="1:7" x14ac:dyDescent="0.35">
      <c r="A163" s="16" t="s">
        <v>1206</v>
      </c>
      <c r="B163" s="30"/>
      <c r="C163" s="30"/>
      <c r="D163" s="13"/>
      <c r="E163" s="14"/>
      <c r="F163" s="15"/>
      <c r="G163" s="15"/>
    </row>
    <row r="164" spans="1:7" x14ac:dyDescent="0.35">
      <c r="A164" s="16" t="s">
        <v>102</v>
      </c>
      <c r="B164" s="30"/>
      <c r="C164" s="30"/>
      <c r="D164" s="13"/>
      <c r="E164" s="39" t="s">
        <v>96</v>
      </c>
      <c r="F164" s="40" t="s">
        <v>96</v>
      </c>
      <c r="G164" s="15"/>
    </row>
    <row r="165" spans="1:7" x14ac:dyDescent="0.35">
      <c r="A165" s="21" t="s">
        <v>129</v>
      </c>
      <c r="B165" s="32"/>
      <c r="C165" s="32"/>
      <c r="D165" s="22"/>
      <c r="E165" s="27">
        <v>400297.08</v>
      </c>
      <c r="F165" s="28">
        <v>0.72350000000000003</v>
      </c>
      <c r="G165" s="20"/>
    </row>
    <row r="166" spans="1:7" x14ac:dyDescent="0.35">
      <c r="A166" s="12"/>
      <c r="B166" s="30"/>
      <c r="C166" s="30"/>
      <c r="D166" s="13"/>
      <c r="E166" s="14"/>
      <c r="F166" s="15"/>
      <c r="G166" s="15"/>
    </row>
    <row r="167" spans="1:7" x14ac:dyDescent="0.35">
      <c r="A167" s="16" t="s">
        <v>1207</v>
      </c>
      <c r="B167" s="30"/>
      <c r="C167" s="30"/>
      <c r="D167" s="13"/>
      <c r="E167" s="14"/>
      <c r="F167" s="15"/>
      <c r="G167" s="15"/>
    </row>
    <row r="168" spans="1:7" x14ac:dyDescent="0.35">
      <c r="A168" s="16" t="s">
        <v>1208</v>
      </c>
      <c r="B168" s="30"/>
      <c r="C168" s="30"/>
      <c r="D168" s="13"/>
      <c r="E168" s="14"/>
      <c r="F168" s="15"/>
      <c r="G168" s="15"/>
    </row>
    <row r="169" spans="1:7" x14ac:dyDescent="0.35">
      <c r="A169" s="12" t="s">
        <v>1209</v>
      </c>
      <c r="B169" s="30"/>
      <c r="C169" s="30" t="s">
        <v>958</v>
      </c>
      <c r="D169" s="41">
        <v>-700</v>
      </c>
      <c r="E169" s="23">
        <v>-11.08</v>
      </c>
      <c r="F169" s="24">
        <v>-2.0000000000000002E-5</v>
      </c>
      <c r="G169" s="15"/>
    </row>
    <row r="170" spans="1:7" x14ac:dyDescent="0.35">
      <c r="A170" s="12" t="s">
        <v>1210</v>
      </c>
      <c r="B170" s="30"/>
      <c r="C170" s="30" t="s">
        <v>1010</v>
      </c>
      <c r="D170" s="41">
        <v>-1050</v>
      </c>
      <c r="E170" s="23">
        <v>-17.23</v>
      </c>
      <c r="F170" s="24">
        <v>-3.1000000000000001E-5</v>
      </c>
      <c r="G170" s="15"/>
    </row>
    <row r="171" spans="1:7" x14ac:dyDescent="0.35">
      <c r="A171" s="12" t="s">
        <v>1211</v>
      </c>
      <c r="B171" s="30"/>
      <c r="C171" s="30" t="s">
        <v>893</v>
      </c>
      <c r="D171" s="41">
        <v>-1200</v>
      </c>
      <c r="E171" s="23">
        <v>-19.940000000000001</v>
      </c>
      <c r="F171" s="24">
        <v>-3.6000000000000001E-5</v>
      </c>
      <c r="G171" s="15"/>
    </row>
    <row r="172" spans="1:7" x14ac:dyDescent="0.35">
      <c r="A172" s="12" t="s">
        <v>1212</v>
      </c>
      <c r="B172" s="30"/>
      <c r="C172" s="30" t="s">
        <v>1199</v>
      </c>
      <c r="D172" s="41">
        <v>-60</v>
      </c>
      <c r="E172" s="23">
        <v>-29.87</v>
      </c>
      <c r="F172" s="24">
        <v>-5.3000000000000001E-5</v>
      </c>
      <c r="G172" s="15"/>
    </row>
    <row r="173" spans="1:7" x14ac:dyDescent="0.35">
      <c r="A173" s="12" t="s">
        <v>1213</v>
      </c>
      <c r="B173" s="30"/>
      <c r="C173" s="30" t="s">
        <v>995</v>
      </c>
      <c r="D173" s="41">
        <v>-6250</v>
      </c>
      <c r="E173" s="23">
        <v>-32.39</v>
      </c>
      <c r="F173" s="24">
        <v>-5.8E-5</v>
      </c>
      <c r="G173" s="15"/>
    </row>
    <row r="174" spans="1:7" x14ac:dyDescent="0.35">
      <c r="A174" s="12" t="s">
        <v>1214</v>
      </c>
      <c r="B174" s="30"/>
      <c r="C174" s="30" t="s">
        <v>943</v>
      </c>
      <c r="D174" s="41">
        <v>-2000</v>
      </c>
      <c r="E174" s="23">
        <v>-33.1</v>
      </c>
      <c r="F174" s="24">
        <v>-5.8999999999999998E-5</v>
      </c>
      <c r="G174" s="15"/>
    </row>
    <row r="175" spans="1:7" x14ac:dyDescent="0.35">
      <c r="A175" s="12" t="s">
        <v>1215</v>
      </c>
      <c r="B175" s="30"/>
      <c r="C175" s="30" t="s">
        <v>943</v>
      </c>
      <c r="D175" s="41">
        <v>-10000</v>
      </c>
      <c r="E175" s="23">
        <v>-37.44</v>
      </c>
      <c r="F175" s="24">
        <v>-6.7000000000000002E-5</v>
      </c>
      <c r="G175" s="15"/>
    </row>
    <row r="176" spans="1:7" x14ac:dyDescent="0.35">
      <c r="A176" s="12" t="s">
        <v>1216</v>
      </c>
      <c r="B176" s="30"/>
      <c r="C176" s="30" t="s">
        <v>911</v>
      </c>
      <c r="D176" s="41">
        <v>-9000</v>
      </c>
      <c r="E176" s="23">
        <v>-39.1</v>
      </c>
      <c r="F176" s="24">
        <v>-6.9999999999999994E-5</v>
      </c>
      <c r="G176" s="15"/>
    </row>
    <row r="177" spans="1:7" x14ac:dyDescent="0.35">
      <c r="A177" s="12" t="s">
        <v>1217</v>
      </c>
      <c r="B177" s="30"/>
      <c r="C177" s="30" t="s">
        <v>988</v>
      </c>
      <c r="D177" s="41">
        <v>-700000</v>
      </c>
      <c r="E177" s="23">
        <v>-60.9</v>
      </c>
      <c r="F177" s="24">
        <v>-1.1E-4</v>
      </c>
      <c r="G177" s="15"/>
    </row>
    <row r="178" spans="1:7" x14ac:dyDescent="0.35">
      <c r="A178" s="12" t="s">
        <v>1218</v>
      </c>
      <c r="B178" s="30"/>
      <c r="C178" s="30" t="s">
        <v>943</v>
      </c>
      <c r="D178" s="41">
        <v>-2000</v>
      </c>
      <c r="E178" s="23">
        <v>-63.36</v>
      </c>
      <c r="F178" s="24">
        <v>-1.1400000000000001E-4</v>
      </c>
      <c r="G178" s="15"/>
    </row>
    <row r="179" spans="1:7" x14ac:dyDescent="0.35">
      <c r="A179" s="12" t="s">
        <v>1219</v>
      </c>
      <c r="B179" s="30"/>
      <c r="C179" s="30" t="s">
        <v>1186</v>
      </c>
      <c r="D179" s="41">
        <v>-57750</v>
      </c>
      <c r="E179" s="23">
        <v>-77.88</v>
      </c>
      <c r="F179" s="24">
        <v>-1.3999999999999999E-4</v>
      </c>
      <c r="G179" s="15"/>
    </row>
    <row r="180" spans="1:7" x14ac:dyDescent="0.35">
      <c r="A180" s="12" t="s">
        <v>1220</v>
      </c>
      <c r="B180" s="30"/>
      <c r="C180" s="30" t="s">
        <v>943</v>
      </c>
      <c r="D180" s="41">
        <v>-480</v>
      </c>
      <c r="E180" s="23">
        <v>-92.88</v>
      </c>
      <c r="F180" s="24">
        <v>-1.6699999999999999E-4</v>
      </c>
      <c r="G180" s="15"/>
    </row>
    <row r="181" spans="1:7" x14ac:dyDescent="0.35">
      <c r="A181" s="12" t="s">
        <v>1221</v>
      </c>
      <c r="B181" s="30"/>
      <c r="C181" s="30" t="s">
        <v>958</v>
      </c>
      <c r="D181" s="41">
        <v>-27000</v>
      </c>
      <c r="E181" s="23">
        <v>-98.13</v>
      </c>
      <c r="F181" s="24">
        <v>-1.7699999999999999E-4</v>
      </c>
      <c r="G181" s="15"/>
    </row>
    <row r="182" spans="1:7" x14ac:dyDescent="0.35">
      <c r="A182" s="12" t="s">
        <v>1222</v>
      </c>
      <c r="B182" s="30"/>
      <c r="C182" s="30" t="s">
        <v>940</v>
      </c>
      <c r="D182" s="41">
        <v>-12000</v>
      </c>
      <c r="E182" s="23">
        <v>-100.21</v>
      </c>
      <c r="F182" s="24">
        <v>-1.8100000000000001E-4</v>
      </c>
      <c r="G182" s="15"/>
    </row>
    <row r="183" spans="1:7" x14ac:dyDescent="0.35">
      <c r="A183" s="12" t="s">
        <v>1223</v>
      </c>
      <c r="B183" s="30"/>
      <c r="C183" s="30" t="s">
        <v>865</v>
      </c>
      <c r="D183" s="41">
        <v>-36000</v>
      </c>
      <c r="E183" s="23">
        <v>-110</v>
      </c>
      <c r="F183" s="24">
        <v>-1.9799999999999999E-4</v>
      </c>
      <c r="G183" s="15"/>
    </row>
    <row r="184" spans="1:7" x14ac:dyDescent="0.35">
      <c r="A184" s="12" t="s">
        <v>1224</v>
      </c>
      <c r="B184" s="30"/>
      <c r="C184" s="30" t="s">
        <v>1175</v>
      </c>
      <c r="D184" s="41">
        <v>-109200</v>
      </c>
      <c r="E184" s="23">
        <v>-114</v>
      </c>
      <c r="F184" s="24">
        <v>-2.05E-4</v>
      </c>
      <c r="G184" s="15"/>
    </row>
    <row r="185" spans="1:7" x14ac:dyDescent="0.35">
      <c r="A185" s="12" t="s">
        <v>1225</v>
      </c>
      <c r="B185" s="30"/>
      <c r="C185" s="30" t="s">
        <v>971</v>
      </c>
      <c r="D185" s="41">
        <v>-123250</v>
      </c>
      <c r="E185" s="23">
        <v>-125.35</v>
      </c>
      <c r="F185" s="24">
        <v>-2.2599999999999999E-4</v>
      </c>
      <c r="G185" s="15"/>
    </row>
    <row r="186" spans="1:7" x14ac:dyDescent="0.35">
      <c r="A186" s="12" t="s">
        <v>1226</v>
      </c>
      <c r="B186" s="30"/>
      <c r="C186" s="30" t="s">
        <v>901</v>
      </c>
      <c r="D186" s="41">
        <v>-79800</v>
      </c>
      <c r="E186" s="23">
        <v>-138.13</v>
      </c>
      <c r="F186" s="24">
        <v>-2.4899999999999998E-4</v>
      </c>
      <c r="G186" s="15"/>
    </row>
    <row r="187" spans="1:7" x14ac:dyDescent="0.35">
      <c r="A187" s="12" t="s">
        <v>1227</v>
      </c>
      <c r="B187" s="30"/>
      <c r="C187" s="30" t="s">
        <v>974</v>
      </c>
      <c r="D187" s="41">
        <v>-27500</v>
      </c>
      <c r="E187" s="23">
        <v>-168.88</v>
      </c>
      <c r="F187" s="24">
        <v>-3.0499999999999999E-4</v>
      </c>
      <c r="G187" s="15"/>
    </row>
    <row r="188" spans="1:7" x14ac:dyDescent="0.35">
      <c r="A188" s="12" t="s">
        <v>1228</v>
      </c>
      <c r="B188" s="30"/>
      <c r="C188" s="30" t="s">
        <v>1048</v>
      </c>
      <c r="D188" s="41">
        <v>-49400</v>
      </c>
      <c r="E188" s="23">
        <v>-175.79</v>
      </c>
      <c r="F188" s="24">
        <v>-3.1700000000000001E-4</v>
      </c>
      <c r="G188" s="15"/>
    </row>
    <row r="189" spans="1:7" x14ac:dyDescent="0.35">
      <c r="A189" s="12" t="s">
        <v>1229</v>
      </c>
      <c r="B189" s="30"/>
      <c r="C189" s="30" t="s">
        <v>958</v>
      </c>
      <c r="D189" s="41">
        <v>-15000</v>
      </c>
      <c r="E189" s="23">
        <v>-183.09</v>
      </c>
      <c r="F189" s="24">
        <v>-3.3E-4</v>
      </c>
      <c r="G189" s="15"/>
    </row>
    <row r="190" spans="1:7" x14ac:dyDescent="0.35">
      <c r="A190" s="12" t="s">
        <v>1230</v>
      </c>
      <c r="B190" s="30"/>
      <c r="C190" s="30" t="s">
        <v>995</v>
      </c>
      <c r="D190" s="41">
        <v>-21600</v>
      </c>
      <c r="E190" s="23">
        <v>-187.19</v>
      </c>
      <c r="F190" s="24">
        <v>-3.3799999999999998E-4</v>
      </c>
      <c r="G190" s="15"/>
    </row>
    <row r="191" spans="1:7" x14ac:dyDescent="0.35">
      <c r="A191" s="12" t="s">
        <v>1231</v>
      </c>
      <c r="B191" s="30"/>
      <c r="C191" s="30" t="s">
        <v>931</v>
      </c>
      <c r="D191" s="41">
        <v>-7750</v>
      </c>
      <c r="E191" s="23">
        <v>-201.07</v>
      </c>
      <c r="F191" s="24">
        <v>-3.6299999999999999E-4</v>
      </c>
      <c r="G191" s="15"/>
    </row>
    <row r="192" spans="1:7" x14ac:dyDescent="0.35">
      <c r="A192" s="12" t="s">
        <v>1232</v>
      </c>
      <c r="B192" s="30"/>
      <c r="C192" s="30" t="s">
        <v>953</v>
      </c>
      <c r="D192" s="41">
        <v>-12300</v>
      </c>
      <c r="E192" s="23">
        <v>-242.68</v>
      </c>
      <c r="F192" s="24">
        <v>-4.3800000000000002E-4</v>
      </c>
      <c r="G192" s="15"/>
    </row>
    <row r="193" spans="1:7" x14ac:dyDescent="0.35">
      <c r="A193" s="12" t="s">
        <v>1233</v>
      </c>
      <c r="B193" s="30"/>
      <c r="C193" s="30" t="s">
        <v>1010</v>
      </c>
      <c r="D193" s="41">
        <v>-50400</v>
      </c>
      <c r="E193" s="23">
        <v>-265.26</v>
      </c>
      <c r="F193" s="24">
        <v>-4.7899999999999999E-4</v>
      </c>
      <c r="G193" s="15"/>
    </row>
    <row r="194" spans="1:7" x14ac:dyDescent="0.35">
      <c r="A194" s="12" t="s">
        <v>1234</v>
      </c>
      <c r="B194" s="30"/>
      <c r="C194" s="30" t="s">
        <v>865</v>
      </c>
      <c r="D194" s="41">
        <v>-153900</v>
      </c>
      <c r="E194" s="23">
        <v>-330.5</v>
      </c>
      <c r="F194" s="24">
        <v>-5.9699999999999998E-4</v>
      </c>
      <c r="G194" s="15"/>
    </row>
    <row r="195" spans="1:7" x14ac:dyDescent="0.35">
      <c r="A195" s="12" t="s">
        <v>1235</v>
      </c>
      <c r="B195" s="30"/>
      <c r="C195" s="30" t="s">
        <v>943</v>
      </c>
      <c r="D195" s="41">
        <v>-9450</v>
      </c>
      <c r="E195" s="23">
        <v>-342.76</v>
      </c>
      <c r="F195" s="24">
        <v>-6.1899999999999998E-4</v>
      </c>
      <c r="G195" s="15"/>
    </row>
    <row r="196" spans="1:7" x14ac:dyDescent="0.35">
      <c r="A196" s="12" t="s">
        <v>1236</v>
      </c>
      <c r="B196" s="30"/>
      <c r="C196" s="30" t="s">
        <v>943</v>
      </c>
      <c r="D196" s="41">
        <v>-87400</v>
      </c>
      <c r="E196" s="23">
        <v>-355.63</v>
      </c>
      <c r="F196" s="24">
        <v>-6.4199999999999999E-4</v>
      </c>
      <c r="G196" s="15"/>
    </row>
    <row r="197" spans="1:7" x14ac:dyDescent="0.35">
      <c r="A197" s="12" t="s">
        <v>1237</v>
      </c>
      <c r="B197" s="30"/>
      <c r="C197" s="30" t="s">
        <v>953</v>
      </c>
      <c r="D197" s="41">
        <v>-71000</v>
      </c>
      <c r="E197" s="23">
        <v>-364.19</v>
      </c>
      <c r="F197" s="24">
        <v>-6.5799999999999995E-4</v>
      </c>
      <c r="G197" s="15"/>
    </row>
    <row r="198" spans="1:7" x14ac:dyDescent="0.35">
      <c r="A198" s="12" t="s">
        <v>1238</v>
      </c>
      <c r="B198" s="30"/>
      <c r="C198" s="30" t="s">
        <v>943</v>
      </c>
      <c r="D198" s="41">
        <v>-41600</v>
      </c>
      <c r="E198" s="23">
        <v>-377.31</v>
      </c>
      <c r="F198" s="24">
        <v>-6.8099999999999996E-4</v>
      </c>
      <c r="G198" s="15"/>
    </row>
    <row r="199" spans="1:7" x14ac:dyDescent="0.35">
      <c r="A199" s="12" t="s">
        <v>1239</v>
      </c>
      <c r="B199" s="30"/>
      <c r="C199" s="30" t="s">
        <v>950</v>
      </c>
      <c r="D199" s="41">
        <v>-15300</v>
      </c>
      <c r="E199" s="23">
        <v>-389.83</v>
      </c>
      <c r="F199" s="24">
        <v>-7.0399999999999998E-4</v>
      </c>
      <c r="G199" s="15"/>
    </row>
    <row r="200" spans="1:7" x14ac:dyDescent="0.35">
      <c r="A200" s="12" t="s">
        <v>1240</v>
      </c>
      <c r="B200" s="30"/>
      <c r="C200" s="30" t="s">
        <v>931</v>
      </c>
      <c r="D200" s="41">
        <v>-4725</v>
      </c>
      <c r="E200" s="23">
        <v>-397.01</v>
      </c>
      <c r="F200" s="24">
        <v>-7.1699999999999997E-4</v>
      </c>
      <c r="G200" s="15"/>
    </row>
    <row r="201" spans="1:7" x14ac:dyDescent="0.35">
      <c r="A201" s="12" t="s">
        <v>1241</v>
      </c>
      <c r="B201" s="30"/>
      <c r="C201" s="30" t="s">
        <v>943</v>
      </c>
      <c r="D201" s="41">
        <v>-59500</v>
      </c>
      <c r="E201" s="23">
        <v>-417.12</v>
      </c>
      <c r="F201" s="24">
        <v>-7.5299999999999998E-4</v>
      </c>
      <c r="G201" s="15"/>
    </row>
    <row r="202" spans="1:7" x14ac:dyDescent="0.35">
      <c r="A202" s="12" t="s">
        <v>1242</v>
      </c>
      <c r="B202" s="30"/>
      <c r="C202" s="30" t="s">
        <v>898</v>
      </c>
      <c r="D202" s="41">
        <v>-112575</v>
      </c>
      <c r="E202" s="23">
        <v>-466.9</v>
      </c>
      <c r="F202" s="24">
        <v>-8.43E-4</v>
      </c>
      <c r="G202" s="15"/>
    </row>
    <row r="203" spans="1:7" x14ac:dyDescent="0.35">
      <c r="A203" s="12" t="s">
        <v>1243</v>
      </c>
      <c r="B203" s="30"/>
      <c r="C203" s="30" t="s">
        <v>874</v>
      </c>
      <c r="D203" s="41">
        <v>-451500</v>
      </c>
      <c r="E203" s="23">
        <v>-467.53</v>
      </c>
      <c r="F203" s="24">
        <v>-8.4400000000000002E-4</v>
      </c>
      <c r="G203" s="15"/>
    </row>
    <row r="204" spans="1:7" x14ac:dyDescent="0.35">
      <c r="A204" s="12" t="s">
        <v>1244</v>
      </c>
      <c r="B204" s="30"/>
      <c r="C204" s="30" t="s">
        <v>971</v>
      </c>
      <c r="D204" s="41">
        <v>-106250</v>
      </c>
      <c r="E204" s="23">
        <v>-489.97</v>
      </c>
      <c r="F204" s="24">
        <v>-8.8500000000000004E-4</v>
      </c>
      <c r="G204" s="15"/>
    </row>
    <row r="205" spans="1:7" x14ac:dyDescent="0.35">
      <c r="A205" s="12" t="s">
        <v>1245</v>
      </c>
      <c r="B205" s="30"/>
      <c r="C205" s="30" t="s">
        <v>868</v>
      </c>
      <c r="D205" s="41">
        <v>-24750</v>
      </c>
      <c r="E205" s="23">
        <v>-505.02</v>
      </c>
      <c r="F205" s="24">
        <v>-9.1200000000000005E-4</v>
      </c>
      <c r="G205" s="15"/>
    </row>
    <row r="206" spans="1:7" x14ac:dyDescent="0.35">
      <c r="A206" s="12" t="s">
        <v>1246</v>
      </c>
      <c r="B206" s="30"/>
      <c r="C206" s="30" t="s">
        <v>995</v>
      </c>
      <c r="D206" s="41">
        <v>-246000</v>
      </c>
      <c r="E206" s="23">
        <v>-507.38</v>
      </c>
      <c r="F206" s="24">
        <v>-9.1600000000000004E-4</v>
      </c>
      <c r="G206" s="15"/>
    </row>
    <row r="207" spans="1:7" x14ac:dyDescent="0.35">
      <c r="A207" s="12" t="s">
        <v>1247</v>
      </c>
      <c r="B207" s="30"/>
      <c r="C207" s="30" t="s">
        <v>1128</v>
      </c>
      <c r="D207" s="41">
        <v>-210000</v>
      </c>
      <c r="E207" s="23">
        <v>-518.28</v>
      </c>
      <c r="F207" s="24">
        <v>-9.3599999999999998E-4</v>
      </c>
      <c r="G207" s="15"/>
    </row>
    <row r="208" spans="1:7" x14ac:dyDescent="0.35">
      <c r="A208" s="12" t="s">
        <v>1248</v>
      </c>
      <c r="B208" s="30"/>
      <c r="C208" s="30" t="s">
        <v>898</v>
      </c>
      <c r="D208" s="41">
        <v>-39200</v>
      </c>
      <c r="E208" s="23">
        <v>-530.53</v>
      </c>
      <c r="F208" s="24">
        <v>-9.5799999999999998E-4</v>
      </c>
      <c r="G208" s="15"/>
    </row>
    <row r="209" spans="1:7" x14ac:dyDescent="0.35">
      <c r="A209" s="12" t="s">
        <v>1249</v>
      </c>
      <c r="B209" s="30"/>
      <c r="C209" s="30" t="s">
        <v>911</v>
      </c>
      <c r="D209" s="41">
        <v>-27825</v>
      </c>
      <c r="E209" s="23">
        <v>-553.83000000000004</v>
      </c>
      <c r="F209" s="24">
        <v>-1E-3</v>
      </c>
      <c r="G209" s="15"/>
    </row>
    <row r="210" spans="1:7" x14ac:dyDescent="0.35">
      <c r="A210" s="12" t="s">
        <v>1250</v>
      </c>
      <c r="B210" s="30"/>
      <c r="C210" s="30" t="s">
        <v>983</v>
      </c>
      <c r="D210" s="41">
        <v>-81900</v>
      </c>
      <c r="E210" s="23">
        <v>-582.35</v>
      </c>
      <c r="F210" s="24">
        <v>-1.052E-3</v>
      </c>
      <c r="G210" s="15"/>
    </row>
    <row r="211" spans="1:7" x14ac:dyDescent="0.35">
      <c r="A211" s="12" t="s">
        <v>1251</v>
      </c>
      <c r="B211" s="30"/>
      <c r="C211" s="30" t="s">
        <v>995</v>
      </c>
      <c r="D211" s="41">
        <v>-257500</v>
      </c>
      <c r="E211" s="23">
        <v>-584.53</v>
      </c>
      <c r="F211" s="24">
        <v>-1.0560000000000001E-3</v>
      </c>
      <c r="G211" s="15"/>
    </row>
    <row r="212" spans="1:7" x14ac:dyDescent="0.35">
      <c r="A212" s="12" t="s">
        <v>1252</v>
      </c>
      <c r="B212" s="30"/>
      <c r="C212" s="30" t="s">
        <v>958</v>
      </c>
      <c r="D212" s="41">
        <v>-18800</v>
      </c>
      <c r="E212" s="23">
        <v>-586.37</v>
      </c>
      <c r="F212" s="24">
        <v>-1.059E-3</v>
      </c>
      <c r="G212" s="15"/>
    </row>
    <row r="213" spans="1:7" x14ac:dyDescent="0.35">
      <c r="A213" s="12" t="s">
        <v>1253</v>
      </c>
      <c r="B213" s="30"/>
      <c r="C213" s="30" t="s">
        <v>943</v>
      </c>
      <c r="D213" s="41">
        <v>-13500</v>
      </c>
      <c r="E213" s="23">
        <v>-601.98</v>
      </c>
      <c r="F213" s="24">
        <v>-1.0870000000000001E-3</v>
      </c>
      <c r="G213" s="15"/>
    </row>
    <row r="214" spans="1:7" x14ac:dyDescent="0.35">
      <c r="A214" s="12" t="s">
        <v>1254</v>
      </c>
      <c r="B214" s="30"/>
      <c r="C214" s="30" t="s">
        <v>908</v>
      </c>
      <c r="D214" s="41">
        <v>-36575</v>
      </c>
      <c r="E214" s="23">
        <v>-633.52</v>
      </c>
      <c r="F214" s="24">
        <v>-1.1440000000000001E-3</v>
      </c>
      <c r="G214" s="15"/>
    </row>
    <row r="215" spans="1:7" x14ac:dyDescent="0.35">
      <c r="A215" s="12" t="s">
        <v>1255</v>
      </c>
      <c r="B215" s="30"/>
      <c r="C215" s="30" t="s">
        <v>898</v>
      </c>
      <c r="D215" s="41">
        <v>-56000</v>
      </c>
      <c r="E215" s="23">
        <v>-644.20000000000005</v>
      </c>
      <c r="F215" s="24">
        <v>-1.163E-3</v>
      </c>
      <c r="G215" s="15"/>
    </row>
    <row r="216" spans="1:7" x14ac:dyDescent="0.35">
      <c r="A216" s="12" t="s">
        <v>1256</v>
      </c>
      <c r="B216" s="30"/>
      <c r="C216" s="30" t="s">
        <v>1057</v>
      </c>
      <c r="D216" s="41">
        <v>-102000</v>
      </c>
      <c r="E216" s="23">
        <v>-645.20000000000005</v>
      </c>
      <c r="F216" s="24">
        <v>-1.165E-3</v>
      </c>
      <c r="G216" s="15"/>
    </row>
    <row r="217" spans="1:7" x14ac:dyDescent="0.35">
      <c r="A217" s="12" t="s">
        <v>1257</v>
      </c>
      <c r="B217" s="30"/>
      <c r="C217" s="30" t="s">
        <v>983</v>
      </c>
      <c r="D217" s="41">
        <v>-51000</v>
      </c>
      <c r="E217" s="23">
        <v>-649.1</v>
      </c>
      <c r="F217" s="24">
        <v>-1.1720000000000001E-3</v>
      </c>
      <c r="G217" s="15"/>
    </row>
    <row r="218" spans="1:7" x14ac:dyDescent="0.35">
      <c r="A218" s="12" t="s">
        <v>1258</v>
      </c>
      <c r="B218" s="30"/>
      <c r="C218" s="30" t="s">
        <v>911</v>
      </c>
      <c r="D218" s="41">
        <v>-17850</v>
      </c>
      <c r="E218" s="23">
        <v>-661.2</v>
      </c>
      <c r="F218" s="24">
        <v>-1.194E-3</v>
      </c>
      <c r="G218" s="15"/>
    </row>
    <row r="219" spans="1:7" x14ac:dyDescent="0.35">
      <c r="A219" s="12" t="s">
        <v>1259</v>
      </c>
      <c r="B219" s="30"/>
      <c r="C219" s="30" t="s">
        <v>911</v>
      </c>
      <c r="D219" s="41">
        <v>-22600</v>
      </c>
      <c r="E219" s="23">
        <v>-662.3</v>
      </c>
      <c r="F219" s="24">
        <v>-1.196E-3</v>
      </c>
      <c r="G219" s="15"/>
    </row>
    <row r="220" spans="1:7" x14ac:dyDescent="0.35">
      <c r="A220" s="12" t="s">
        <v>1260</v>
      </c>
      <c r="B220" s="30"/>
      <c r="C220" s="30" t="s">
        <v>859</v>
      </c>
      <c r="D220" s="41">
        <v>-1800000</v>
      </c>
      <c r="E220" s="23">
        <v>-676.8</v>
      </c>
      <c r="F220" s="24">
        <v>-1.222E-3</v>
      </c>
      <c r="G220" s="15"/>
    </row>
    <row r="221" spans="1:7" x14ac:dyDescent="0.35">
      <c r="A221" s="12" t="s">
        <v>1261</v>
      </c>
      <c r="B221" s="30"/>
      <c r="C221" s="30" t="s">
        <v>885</v>
      </c>
      <c r="D221" s="41">
        <v>-170000</v>
      </c>
      <c r="E221" s="23">
        <v>-690.88</v>
      </c>
      <c r="F221" s="24">
        <v>-1.248E-3</v>
      </c>
      <c r="G221" s="15"/>
    </row>
    <row r="222" spans="1:7" x14ac:dyDescent="0.35">
      <c r="A222" s="12" t="s">
        <v>1262</v>
      </c>
      <c r="B222" s="30"/>
      <c r="C222" s="30" t="s">
        <v>1097</v>
      </c>
      <c r="D222" s="41">
        <v>-220800</v>
      </c>
      <c r="E222" s="23">
        <v>-702.03</v>
      </c>
      <c r="F222" s="24">
        <v>-1.268E-3</v>
      </c>
      <c r="G222" s="15"/>
    </row>
    <row r="223" spans="1:7" x14ac:dyDescent="0.35">
      <c r="A223" s="12" t="s">
        <v>1263</v>
      </c>
      <c r="B223" s="30"/>
      <c r="C223" s="30" t="s">
        <v>908</v>
      </c>
      <c r="D223" s="41">
        <v>-290000</v>
      </c>
      <c r="E223" s="23">
        <v>-703.4</v>
      </c>
      <c r="F223" s="24">
        <v>-1.2700000000000001E-3</v>
      </c>
      <c r="G223" s="15"/>
    </row>
    <row r="224" spans="1:7" x14ac:dyDescent="0.35">
      <c r="A224" s="12" t="s">
        <v>1264</v>
      </c>
      <c r="B224" s="30"/>
      <c r="C224" s="30" t="s">
        <v>934</v>
      </c>
      <c r="D224" s="41">
        <v>-23250</v>
      </c>
      <c r="E224" s="23">
        <v>-712.95</v>
      </c>
      <c r="F224" s="24">
        <v>-1.2880000000000001E-3</v>
      </c>
      <c r="G224" s="15"/>
    </row>
    <row r="225" spans="1:7" x14ac:dyDescent="0.35">
      <c r="A225" s="12" t="s">
        <v>1265</v>
      </c>
      <c r="B225" s="30"/>
      <c r="C225" s="30" t="s">
        <v>940</v>
      </c>
      <c r="D225" s="41">
        <v>-34925</v>
      </c>
      <c r="E225" s="23">
        <v>-713.08</v>
      </c>
      <c r="F225" s="24">
        <v>-1.2880000000000001E-3</v>
      </c>
      <c r="G225" s="15"/>
    </row>
    <row r="226" spans="1:7" x14ac:dyDescent="0.35">
      <c r="A226" s="12" t="s">
        <v>1266</v>
      </c>
      <c r="B226" s="30"/>
      <c r="C226" s="30" t="s">
        <v>931</v>
      </c>
      <c r="D226" s="41">
        <v>-15975</v>
      </c>
      <c r="E226" s="23">
        <v>-728.2</v>
      </c>
      <c r="F226" s="24">
        <v>-1.315E-3</v>
      </c>
      <c r="G226" s="15"/>
    </row>
    <row r="227" spans="1:7" x14ac:dyDescent="0.35">
      <c r="A227" s="12" t="s">
        <v>1267</v>
      </c>
      <c r="B227" s="30"/>
      <c r="C227" s="30" t="s">
        <v>983</v>
      </c>
      <c r="D227" s="41">
        <v>-669600</v>
      </c>
      <c r="E227" s="23">
        <v>-787.11</v>
      </c>
      <c r="F227" s="24">
        <v>-1.4220000000000001E-3</v>
      </c>
      <c r="G227" s="15"/>
    </row>
    <row r="228" spans="1:7" x14ac:dyDescent="0.35">
      <c r="A228" s="12" t="s">
        <v>1268</v>
      </c>
      <c r="B228" s="30"/>
      <c r="C228" s="30" t="s">
        <v>943</v>
      </c>
      <c r="D228" s="41">
        <v>-292100</v>
      </c>
      <c r="E228" s="23">
        <v>-791.59</v>
      </c>
      <c r="F228" s="24">
        <v>-1.4300000000000001E-3</v>
      </c>
      <c r="G228" s="15"/>
    </row>
    <row r="229" spans="1:7" x14ac:dyDescent="0.35">
      <c r="A229" s="12" t="s">
        <v>1269</v>
      </c>
      <c r="B229" s="30"/>
      <c r="C229" s="30" t="s">
        <v>862</v>
      </c>
      <c r="D229" s="41">
        <v>-1425000</v>
      </c>
      <c r="E229" s="23">
        <v>-800.85</v>
      </c>
      <c r="F229" s="24">
        <v>-1.446E-3</v>
      </c>
      <c r="G229" s="15"/>
    </row>
    <row r="230" spans="1:7" x14ac:dyDescent="0.35">
      <c r="A230" s="12" t="s">
        <v>1270</v>
      </c>
      <c r="B230" s="30"/>
      <c r="C230" s="30" t="s">
        <v>862</v>
      </c>
      <c r="D230" s="41">
        <v>-345600</v>
      </c>
      <c r="E230" s="23">
        <v>-829.27</v>
      </c>
      <c r="F230" s="24">
        <v>-1.498E-3</v>
      </c>
      <c r="G230" s="15"/>
    </row>
    <row r="231" spans="1:7" x14ac:dyDescent="0.35">
      <c r="A231" s="12" t="s">
        <v>1271</v>
      </c>
      <c r="B231" s="30"/>
      <c r="C231" s="30" t="s">
        <v>862</v>
      </c>
      <c r="D231" s="41">
        <v>-650000</v>
      </c>
      <c r="E231" s="23">
        <v>-859.95</v>
      </c>
      <c r="F231" s="24">
        <v>-1.5529999999999999E-3</v>
      </c>
      <c r="G231" s="15"/>
    </row>
    <row r="232" spans="1:7" x14ac:dyDescent="0.35">
      <c r="A232" s="12" t="s">
        <v>1272</v>
      </c>
      <c r="B232" s="30"/>
      <c r="C232" s="30" t="s">
        <v>931</v>
      </c>
      <c r="D232" s="41">
        <v>-514500</v>
      </c>
      <c r="E232" s="23">
        <v>-865.13</v>
      </c>
      <c r="F232" s="24">
        <v>-1.5629999999999999E-3</v>
      </c>
      <c r="G232" s="15"/>
    </row>
    <row r="233" spans="1:7" x14ac:dyDescent="0.35">
      <c r="A233" s="12" t="s">
        <v>1273</v>
      </c>
      <c r="B233" s="30"/>
      <c r="C233" s="30" t="s">
        <v>885</v>
      </c>
      <c r="D233" s="41">
        <v>-680000</v>
      </c>
      <c r="E233" s="23">
        <v>-885.02</v>
      </c>
      <c r="F233" s="24">
        <v>-1.5989999999999999E-3</v>
      </c>
      <c r="G233" s="15"/>
    </row>
    <row r="234" spans="1:7" x14ac:dyDescent="0.35">
      <c r="A234" s="12" t="s">
        <v>1274</v>
      </c>
      <c r="B234" s="30"/>
      <c r="C234" s="30" t="s">
        <v>953</v>
      </c>
      <c r="D234" s="41">
        <v>-311500</v>
      </c>
      <c r="E234" s="23">
        <v>-910.98</v>
      </c>
      <c r="F234" s="24">
        <v>-1.645E-3</v>
      </c>
      <c r="G234" s="15"/>
    </row>
    <row r="235" spans="1:7" x14ac:dyDescent="0.35">
      <c r="A235" s="12" t="s">
        <v>1275</v>
      </c>
      <c r="B235" s="30"/>
      <c r="C235" s="30" t="s">
        <v>1048</v>
      </c>
      <c r="D235" s="41">
        <v>-24625</v>
      </c>
      <c r="E235" s="23">
        <v>-970.93</v>
      </c>
      <c r="F235" s="24">
        <v>-1.7539999999999999E-3</v>
      </c>
      <c r="G235" s="15"/>
    </row>
    <row r="236" spans="1:7" x14ac:dyDescent="0.35">
      <c r="A236" s="12" t="s">
        <v>1276</v>
      </c>
      <c r="B236" s="30"/>
      <c r="C236" s="30" t="s">
        <v>885</v>
      </c>
      <c r="D236" s="41">
        <v>-1032000</v>
      </c>
      <c r="E236" s="23">
        <v>-1061.4100000000001</v>
      </c>
      <c r="F236" s="24">
        <v>-1.9170000000000001E-3</v>
      </c>
      <c r="G236" s="15"/>
    </row>
    <row r="237" spans="1:7" x14ac:dyDescent="0.35">
      <c r="A237" s="12" t="s">
        <v>1277</v>
      </c>
      <c r="B237" s="30"/>
      <c r="C237" s="30" t="s">
        <v>983</v>
      </c>
      <c r="D237" s="41">
        <v>-210000</v>
      </c>
      <c r="E237" s="23">
        <v>-1071</v>
      </c>
      <c r="F237" s="24">
        <v>-1.9350000000000001E-3</v>
      </c>
      <c r="G237" s="15"/>
    </row>
    <row r="238" spans="1:7" x14ac:dyDescent="0.35">
      <c r="A238" s="12" t="s">
        <v>1278</v>
      </c>
      <c r="B238" s="30"/>
      <c r="C238" s="30" t="s">
        <v>943</v>
      </c>
      <c r="D238" s="41">
        <v>-241200</v>
      </c>
      <c r="E238" s="23">
        <v>-1101.56</v>
      </c>
      <c r="F238" s="24">
        <v>-1.99E-3</v>
      </c>
      <c r="G238" s="15"/>
    </row>
    <row r="239" spans="1:7" x14ac:dyDescent="0.35">
      <c r="A239" s="12" t="s">
        <v>1279</v>
      </c>
      <c r="B239" s="30"/>
      <c r="C239" s="30" t="s">
        <v>911</v>
      </c>
      <c r="D239" s="41">
        <v>-422500</v>
      </c>
      <c r="E239" s="23">
        <v>-1144.55</v>
      </c>
      <c r="F239" s="24">
        <v>-2.0669999999999998E-3</v>
      </c>
      <c r="G239" s="15"/>
    </row>
    <row r="240" spans="1:7" x14ac:dyDescent="0.35">
      <c r="A240" s="12" t="s">
        <v>1280</v>
      </c>
      <c r="B240" s="30"/>
      <c r="C240" s="30" t="s">
        <v>1060</v>
      </c>
      <c r="D240" s="41">
        <v>-421600</v>
      </c>
      <c r="E240" s="23">
        <v>-1191.02</v>
      </c>
      <c r="F240" s="24">
        <v>-2.1510000000000001E-3</v>
      </c>
      <c r="G240" s="15"/>
    </row>
    <row r="241" spans="1:7" x14ac:dyDescent="0.35">
      <c r="A241" s="12" t="s">
        <v>1281</v>
      </c>
      <c r="B241" s="30"/>
      <c r="C241" s="30" t="s">
        <v>1057</v>
      </c>
      <c r="D241" s="41">
        <v>-26625</v>
      </c>
      <c r="E241" s="23">
        <v>-1209.4000000000001</v>
      </c>
      <c r="F241" s="24">
        <v>-2.1849999999999999E-3</v>
      </c>
      <c r="G241" s="15"/>
    </row>
    <row r="242" spans="1:7" x14ac:dyDescent="0.35">
      <c r="A242" s="12" t="s">
        <v>1282</v>
      </c>
      <c r="B242" s="30"/>
      <c r="C242" s="30" t="s">
        <v>1015</v>
      </c>
      <c r="D242" s="41">
        <v>-336600</v>
      </c>
      <c r="E242" s="23">
        <v>-1305.67</v>
      </c>
      <c r="F242" s="24">
        <v>-2.359E-3</v>
      </c>
      <c r="G242" s="15"/>
    </row>
    <row r="243" spans="1:7" x14ac:dyDescent="0.35">
      <c r="A243" s="12" t="s">
        <v>1283</v>
      </c>
      <c r="B243" s="30"/>
      <c r="C243" s="30" t="s">
        <v>885</v>
      </c>
      <c r="D243" s="41">
        <v>-264225</v>
      </c>
      <c r="E243" s="23">
        <v>-1391.28</v>
      </c>
      <c r="F243" s="24">
        <v>-2.513E-3</v>
      </c>
      <c r="G243" s="15"/>
    </row>
    <row r="244" spans="1:7" x14ac:dyDescent="0.35">
      <c r="A244" s="12" t="s">
        <v>1284</v>
      </c>
      <c r="B244" s="30"/>
      <c r="C244" s="30" t="s">
        <v>988</v>
      </c>
      <c r="D244" s="41">
        <v>-16380000</v>
      </c>
      <c r="E244" s="23">
        <v>-1416.87</v>
      </c>
      <c r="F244" s="24">
        <v>-2.5590000000000001E-3</v>
      </c>
      <c r="G244" s="15"/>
    </row>
    <row r="245" spans="1:7" x14ac:dyDescent="0.35">
      <c r="A245" s="12" t="s">
        <v>1285</v>
      </c>
      <c r="B245" s="30"/>
      <c r="C245" s="30" t="s">
        <v>908</v>
      </c>
      <c r="D245" s="41">
        <v>-89500</v>
      </c>
      <c r="E245" s="23">
        <v>-1438.53</v>
      </c>
      <c r="F245" s="24">
        <v>-2.5990000000000002E-3</v>
      </c>
      <c r="G245" s="15"/>
    </row>
    <row r="246" spans="1:7" x14ac:dyDescent="0.35">
      <c r="A246" s="12" t="s">
        <v>1286</v>
      </c>
      <c r="B246" s="30"/>
      <c r="C246" s="30" t="s">
        <v>1048</v>
      </c>
      <c r="D246" s="41">
        <v>-94975</v>
      </c>
      <c r="E246" s="23">
        <v>-1459.39</v>
      </c>
      <c r="F246" s="24">
        <v>-2.6359999999999999E-3</v>
      </c>
      <c r="G246" s="15"/>
    </row>
    <row r="247" spans="1:7" x14ac:dyDescent="0.35">
      <c r="A247" s="12" t="s">
        <v>1287</v>
      </c>
      <c r="B247" s="30"/>
      <c r="C247" s="30" t="s">
        <v>943</v>
      </c>
      <c r="D247" s="41">
        <v>-144900</v>
      </c>
      <c r="E247" s="23">
        <v>-1481.6</v>
      </c>
      <c r="F247" s="24">
        <v>-2.676E-3</v>
      </c>
      <c r="G247" s="15"/>
    </row>
    <row r="248" spans="1:7" x14ac:dyDescent="0.35">
      <c r="A248" s="12" t="s">
        <v>1288</v>
      </c>
      <c r="B248" s="30"/>
      <c r="C248" s="30" t="s">
        <v>908</v>
      </c>
      <c r="D248" s="41">
        <v>-22000</v>
      </c>
      <c r="E248" s="23">
        <v>-1482.06</v>
      </c>
      <c r="F248" s="24">
        <v>-2.6770000000000001E-3</v>
      </c>
      <c r="G248" s="15"/>
    </row>
    <row r="249" spans="1:7" x14ac:dyDescent="0.35">
      <c r="A249" s="12" t="s">
        <v>1289</v>
      </c>
      <c r="B249" s="30"/>
      <c r="C249" s="30" t="s">
        <v>1015</v>
      </c>
      <c r="D249" s="41">
        <v>-161700</v>
      </c>
      <c r="E249" s="23">
        <v>-1499.69</v>
      </c>
      <c r="F249" s="24">
        <v>-2.709E-3</v>
      </c>
      <c r="G249" s="15"/>
    </row>
    <row r="250" spans="1:7" x14ac:dyDescent="0.35">
      <c r="A250" s="12" t="s">
        <v>1290</v>
      </c>
      <c r="B250" s="30"/>
      <c r="C250" s="30" t="s">
        <v>888</v>
      </c>
      <c r="D250" s="41">
        <v>-478500</v>
      </c>
      <c r="E250" s="23">
        <v>-1570.44</v>
      </c>
      <c r="F250" s="24">
        <v>-2.8370000000000001E-3</v>
      </c>
      <c r="G250" s="15"/>
    </row>
    <row r="251" spans="1:7" x14ac:dyDescent="0.35">
      <c r="A251" s="12" t="s">
        <v>1291</v>
      </c>
      <c r="B251" s="30"/>
      <c r="C251" s="30" t="s">
        <v>958</v>
      </c>
      <c r="D251" s="41">
        <v>-88000</v>
      </c>
      <c r="E251" s="23">
        <v>-1617.57</v>
      </c>
      <c r="F251" s="24">
        <v>-2.9220000000000001E-3</v>
      </c>
      <c r="G251" s="15"/>
    </row>
    <row r="252" spans="1:7" x14ac:dyDescent="0.35">
      <c r="A252" s="12" t="s">
        <v>1292</v>
      </c>
      <c r="B252" s="30"/>
      <c r="C252" s="30" t="s">
        <v>922</v>
      </c>
      <c r="D252" s="41">
        <v>-204000</v>
      </c>
      <c r="E252" s="23">
        <v>-1629.55</v>
      </c>
      <c r="F252" s="24">
        <v>-2.944E-3</v>
      </c>
      <c r="G252" s="15"/>
    </row>
    <row r="253" spans="1:7" x14ac:dyDescent="0.35">
      <c r="A253" s="12" t="s">
        <v>1293</v>
      </c>
      <c r="B253" s="30"/>
      <c r="C253" s="30" t="s">
        <v>983</v>
      </c>
      <c r="D253" s="41">
        <v>-308000</v>
      </c>
      <c r="E253" s="23">
        <v>-1671.21</v>
      </c>
      <c r="F253" s="24">
        <v>-3.019E-3</v>
      </c>
      <c r="G253" s="15"/>
    </row>
    <row r="254" spans="1:7" x14ac:dyDescent="0.35">
      <c r="A254" s="12" t="s">
        <v>1294</v>
      </c>
      <c r="B254" s="30"/>
      <c r="C254" s="30" t="s">
        <v>908</v>
      </c>
      <c r="D254" s="41">
        <v>-70000</v>
      </c>
      <c r="E254" s="23">
        <v>-1683.15</v>
      </c>
      <c r="F254" s="24">
        <v>-3.0409999999999999E-3</v>
      </c>
      <c r="G254" s="15"/>
    </row>
    <row r="255" spans="1:7" x14ac:dyDescent="0.35">
      <c r="A255" s="12" t="s">
        <v>1295</v>
      </c>
      <c r="B255" s="30"/>
      <c r="C255" s="30" t="s">
        <v>974</v>
      </c>
      <c r="D255" s="41">
        <v>-514816</v>
      </c>
      <c r="E255" s="23">
        <v>-1723.09</v>
      </c>
      <c r="F255" s="24">
        <v>-3.1129999999999999E-3</v>
      </c>
      <c r="G255" s="15"/>
    </row>
    <row r="256" spans="1:7" x14ac:dyDescent="0.35">
      <c r="A256" s="12" t="s">
        <v>1296</v>
      </c>
      <c r="B256" s="30"/>
      <c r="C256" s="30" t="s">
        <v>1025</v>
      </c>
      <c r="D256" s="41">
        <v>-8560</v>
      </c>
      <c r="E256" s="23">
        <v>-1747.65</v>
      </c>
      <c r="F256" s="24">
        <v>-3.1570000000000001E-3</v>
      </c>
      <c r="G256" s="15"/>
    </row>
    <row r="257" spans="1:7" x14ac:dyDescent="0.35">
      <c r="A257" s="12" t="s">
        <v>1297</v>
      </c>
      <c r="B257" s="30"/>
      <c r="C257" s="30" t="s">
        <v>1022</v>
      </c>
      <c r="D257" s="41">
        <v>-86400</v>
      </c>
      <c r="E257" s="23">
        <v>-1757.81</v>
      </c>
      <c r="F257" s="24">
        <v>-3.1749999999999999E-3</v>
      </c>
      <c r="G257" s="15"/>
    </row>
    <row r="258" spans="1:7" x14ac:dyDescent="0.35">
      <c r="A258" s="12" t="s">
        <v>1298</v>
      </c>
      <c r="B258" s="30"/>
      <c r="C258" s="30" t="s">
        <v>885</v>
      </c>
      <c r="D258" s="41">
        <v>-1674000</v>
      </c>
      <c r="E258" s="23">
        <v>-1762.72</v>
      </c>
      <c r="F258" s="24">
        <v>-3.1840000000000002E-3</v>
      </c>
      <c r="G258" s="15"/>
    </row>
    <row r="259" spans="1:7" x14ac:dyDescent="0.35">
      <c r="A259" s="12" t="s">
        <v>1299</v>
      </c>
      <c r="B259" s="30"/>
      <c r="C259" s="30" t="s">
        <v>958</v>
      </c>
      <c r="D259" s="41">
        <v>-64125</v>
      </c>
      <c r="E259" s="23">
        <v>-1779.56</v>
      </c>
      <c r="F259" s="24">
        <v>-3.215E-3</v>
      </c>
      <c r="G259" s="15"/>
    </row>
    <row r="260" spans="1:7" x14ac:dyDescent="0.35">
      <c r="A260" s="12" t="s">
        <v>1300</v>
      </c>
      <c r="B260" s="30"/>
      <c r="C260" s="30" t="s">
        <v>1015</v>
      </c>
      <c r="D260" s="41">
        <v>-142675</v>
      </c>
      <c r="E260" s="23">
        <v>-1813.47</v>
      </c>
      <c r="F260" s="24">
        <v>-3.2759999999999998E-3</v>
      </c>
      <c r="G260" s="15"/>
    </row>
    <row r="261" spans="1:7" x14ac:dyDescent="0.35">
      <c r="A261" s="12" t="s">
        <v>1301</v>
      </c>
      <c r="B261" s="30"/>
      <c r="C261" s="30" t="s">
        <v>888</v>
      </c>
      <c r="D261" s="41">
        <v>-196700</v>
      </c>
      <c r="E261" s="23">
        <v>-1904.74</v>
      </c>
      <c r="F261" s="24">
        <v>-3.441E-3</v>
      </c>
      <c r="G261" s="15"/>
    </row>
    <row r="262" spans="1:7" x14ac:dyDescent="0.35">
      <c r="A262" s="12" t="s">
        <v>1302</v>
      </c>
      <c r="B262" s="30"/>
      <c r="C262" s="30" t="s">
        <v>1010</v>
      </c>
      <c r="D262" s="41">
        <v>-345000</v>
      </c>
      <c r="E262" s="23">
        <v>-1913.03</v>
      </c>
      <c r="F262" s="24">
        <v>-3.4559999999999999E-3</v>
      </c>
      <c r="G262" s="15"/>
    </row>
    <row r="263" spans="1:7" x14ac:dyDescent="0.35">
      <c r="A263" s="12" t="s">
        <v>1303</v>
      </c>
      <c r="B263" s="30"/>
      <c r="C263" s="30" t="s">
        <v>885</v>
      </c>
      <c r="D263" s="41">
        <v>-2409480</v>
      </c>
      <c r="E263" s="23">
        <v>-1966.14</v>
      </c>
      <c r="F263" s="24">
        <v>-3.552E-3</v>
      </c>
      <c r="G263" s="15"/>
    </row>
    <row r="264" spans="1:7" x14ac:dyDescent="0.35">
      <c r="A264" s="12" t="s">
        <v>1304</v>
      </c>
      <c r="B264" s="30"/>
      <c r="C264" s="30" t="s">
        <v>971</v>
      </c>
      <c r="D264" s="41">
        <v>-2508000</v>
      </c>
      <c r="E264" s="23">
        <v>-1973.8</v>
      </c>
      <c r="F264" s="24">
        <v>-3.5660000000000002E-3</v>
      </c>
      <c r="G264" s="15"/>
    </row>
    <row r="265" spans="1:7" x14ac:dyDescent="0.35">
      <c r="A265" s="12" t="s">
        <v>1305</v>
      </c>
      <c r="B265" s="30"/>
      <c r="C265" s="30" t="s">
        <v>937</v>
      </c>
      <c r="D265" s="41">
        <v>-1417500</v>
      </c>
      <c r="E265" s="23">
        <v>-1989.46</v>
      </c>
      <c r="F265" s="24">
        <v>-3.594E-3</v>
      </c>
      <c r="G265" s="15"/>
    </row>
    <row r="266" spans="1:7" x14ac:dyDescent="0.35">
      <c r="A266" s="12" t="s">
        <v>1306</v>
      </c>
      <c r="B266" s="30"/>
      <c r="C266" s="30" t="s">
        <v>931</v>
      </c>
      <c r="D266" s="41">
        <v>-78375</v>
      </c>
      <c r="E266" s="23">
        <v>-2012.36</v>
      </c>
      <c r="F266" s="24">
        <v>-3.6350000000000002E-3</v>
      </c>
      <c r="G266" s="15"/>
    </row>
    <row r="267" spans="1:7" x14ac:dyDescent="0.35">
      <c r="A267" s="12" t="s">
        <v>1307</v>
      </c>
      <c r="B267" s="30"/>
      <c r="C267" s="30" t="s">
        <v>943</v>
      </c>
      <c r="D267" s="41">
        <v>-373000</v>
      </c>
      <c r="E267" s="23">
        <v>-2013.64</v>
      </c>
      <c r="F267" s="24">
        <v>-3.6380000000000002E-3</v>
      </c>
      <c r="G267" s="15"/>
    </row>
    <row r="268" spans="1:7" x14ac:dyDescent="0.35">
      <c r="A268" s="12" t="s">
        <v>1308</v>
      </c>
      <c r="B268" s="30"/>
      <c r="C268" s="30" t="s">
        <v>995</v>
      </c>
      <c r="D268" s="41">
        <v>-477125</v>
      </c>
      <c r="E268" s="23">
        <v>-2049.4899999999998</v>
      </c>
      <c r="F268" s="24">
        <v>-3.702E-3</v>
      </c>
      <c r="G268" s="15"/>
    </row>
    <row r="269" spans="1:7" x14ac:dyDescent="0.35">
      <c r="A269" s="12" t="s">
        <v>1309</v>
      </c>
      <c r="B269" s="30"/>
      <c r="C269" s="30" t="s">
        <v>953</v>
      </c>
      <c r="D269" s="41">
        <v>-3165750</v>
      </c>
      <c r="E269" s="23">
        <v>-2049.8200000000002</v>
      </c>
      <c r="F269" s="24">
        <v>-3.7030000000000001E-3</v>
      </c>
      <c r="G269" s="15"/>
    </row>
    <row r="270" spans="1:7" x14ac:dyDescent="0.35">
      <c r="A270" s="12" t="s">
        <v>1310</v>
      </c>
      <c r="B270" s="30"/>
      <c r="C270" s="30" t="s">
        <v>958</v>
      </c>
      <c r="D270" s="41">
        <v>-237000</v>
      </c>
      <c r="E270" s="23">
        <v>-2084.77</v>
      </c>
      <c r="F270" s="24">
        <v>-3.7659999999999998E-3</v>
      </c>
      <c r="G270" s="15"/>
    </row>
    <row r="271" spans="1:7" x14ac:dyDescent="0.35">
      <c r="A271" s="12" t="s">
        <v>1311</v>
      </c>
      <c r="B271" s="30"/>
      <c r="C271" s="30" t="s">
        <v>885</v>
      </c>
      <c r="D271" s="41">
        <v>-305000</v>
      </c>
      <c r="E271" s="23">
        <v>-2173.7399999999998</v>
      </c>
      <c r="F271" s="24">
        <v>-3.9269999999999999E-3</v>
      </c>
      <c r="G271" s="15"/>
    </row>
    <row r="272" spans="1:7" x14ac:dyDescent="0.35">
      <c r="A272" s="12" t="s">
        <v>1312</v>
      </c>
      <c r="B272" s="30"/>
      <c r="C272" s="30" t="s">
        <v>988</v>
      </c>
      <c r="D272" s="41">
        <v>-175000</v>
      </c>
      <c r="E272" s="23">
        <v>-2214.98</v>
      </c>
      <c r="F272" s="24">
        <v>-4.0010000000000002E-3</v>
      </c>
      <c r="G272" s="15"/>
    </row>
    <row r="273" spans="1:7" x14ac:dyDescent="0.35">
      <c r="A273" s="12" t="s">
        <v>1313</v>
      </c>
      <c r="B273" s="30"/>
      <c r="C273" s="30" t="s">
        <v>931</v>
      </c>
      <c r="D273" s="41">
        <v>-310700</v>
      </c>
      <c r="E273" s="23">
        <v>-2217</v>
      </c>
      <c r="F273" s="24">
        <v>-4.0049999999999999E-3</v>
      </c>
      <c r="G273" s="15"/>
    </row>
    <row r="274" spans="1:7" x14ac:dyDescent="0.35">
      <c r="A274" s="12" t="s">
        <v>1314</v>
      </c>
      <c r="B274" s="30"/>
      <c r="C274" s="30" t="s">
        <v>983</v>
      </c>
      <c r="D274" s="41">
        <v>-189125</v>
      </c>
      <c r="E274" s="23">
        <v>-2225.4299999999998</v>
      </c>
      <c r="F274" s="24">
        <v>-4.0200000000000001E-3</v>
      </c>
      <c r="G274" s="15"/>
    </row>
    <row r="275" spans="1:7" x14ac:dyDescent="0.35">
      <c r="A275" s="12" t="s">
        <v>1315</v>
      </c>
      <c r="B275" s="30"/>
      <c r="C275" s="30" t="s">
        <v>888</v>
      </c>
      <c r="D275" s="41">
        <v>-71750</v>
      </c>
      <c r="E275" s="23">
        <v>-2340.1999999999998</v>
      </c>
      <c r="F275" s="24">
        <v>-4.228E-3</v>
      </c>
      <c r="G275" s="15"/>
    </row>
    <row r="276" spans="1:7" x14ac:dyDescent="0.35">
      <c r="A276" s="12" t="s">
        <v>1316</v>
      </c>
      <c r="B276" s="30"/>
      <c r="C276" s="30" t="s">
        <v>874</v>
      </c>
      <c r="D276" s="41">
        <v>-3349000</v>
      </c>
      <c r="E276" s="23">
        <v>-2356.02</v>
      </c>
      <c r="F276" s="24">
        <v>-4.2560000000000002E-3</v>
      </c>
      <c r="G276" s="15"/>
    </row>
    <row r="277" spans="1:7" x14ac:dyDescent="0.35">
      <c r="A277" s="12" t="s">
        <v>1317</v>
      </c>
      <c r="B277" s="30"/>
      <c r="C277" s="30" t="s">
        <v>911</v>
      </c>
      <c r="D277" s="41">
        <v>-154500</v>
      </c>
      <c r="E277" s="23">
        <v>-2387.1</v>
      </c>
      <c r="F277" s="24">
        <v>-4.3119999999999999E-3</v>
      </c>
      <c r="G277" s="15"/>
    </row>
    <row r="278" spans="1:7" x14ac:dyDescent="0.35">
      <c r="A278" s="12" t="s">
        <v>1318</v>
      </c>
      <c r="B278" s="30"/>
      <c r="C278" s="30" t="s">
        <v>974</v>
      </c>
      <c r="D278" s="41">
        <v>-1087900</v>
      </c>
      <c r="E278" s="23">
        <v>-2442.88</v>
      </c>
      <c r="F278" s="24">
        <v>-4.4130000000000003E-3</v>
      </c>
      <c r="G278" s="15"/>
    </row>
    <row r="279" spans="1:7" x14ac:dyDescent="0.35">
      <c r="A279" s="12" t="s">
        <v>1319</v>
      </c>
      <c r="B279" s="30"/>
      <c r="C279" s="30" t="s">
        <v>971</v>
      </c>
      <c r="D279" s="41">
        <v>-363150</v>
      </c>
      <c r="E279" s="23">
        <v>-2461.79</v>
      </c>
      <c r="F279" s="24">
        <v>-4.4470000000000004E-3</v>
      </c>
      <c r="G279" s="15"/>
    </row>
    <row r="280" spans="1:7" x14ac:dyDescent="0.35">
      <c r="A280" s="12" t="s">
        <v>1320</v>
      </c>
      <c r="B280" s="30"/>
      <c r="C280" s="30" t="s">
        <v>953</v>
      </c>
      <c r="D280" s="41">
        <v>-1569600</v>
      </c>
      <c r="E280" s="23">
        <v>-2617.31</v>
      </c>
      <c r="F280" s="24">
        <v>-4.7280000000000004E-3</v>
      </c>
      <c r="G280" s="15"/>
    </row>
    <row r="281" spans="1:7" x14ac:dyDescent="0.35">
      <c r="A281" s="12" t="s">
        <v>1321</v>
      </c>
      <c r="B281" s="30"/>
      <c r="C281" s="30" t="s">
        <v>901</v>
      </c>
      <c r="D281" s="41">
        <v>-582000</v>
      </c>
      <c r="E281" s="23">
        <v>-2948.41</v>
      </c>
      <c r="F281" s="24">
        <v>-5.3270000000000001E-3</v>
      </c>
      <c r="G281" s="15"/>
    </row>
    <row r="282" spans="1:7" x14ac:dyDescent="0.35">
      <c r="A282" s="12" t="s">
        <v>1322</v>
      </c>
      <c r="B282" s="30"/>
      <c r="C282" s="30" t="s">
        <v>885</v>
      </c>
      <c r="D282" s="41">
        <v>-2635000</v>
      </c>
      <c r="E282" s="23">
        <v>-3027.62</v>
      </c>
      <c r="F282" s="24">
        <v>-5.47E-3</v>
      </c>
      <c r="G282" s="15"/>
    </row>
    <row r="283" spans="1:7" x14ac:dyDescent="0.35">
      <c r="A283" s="12" t="s">
        <v>1323</v>
      </c>
      <c r="B283" s="30"/>
      <c r="C283" s="30" t="s">
        <v>862</v>
      </c>
      <c r="D283" s="41">
        <v>-552000</v>
      </c>
      <c r="E283" s="23">
        <v>-3181.73</v>
      </c>
      <c r="F283" s="24">
        <v>-5.7479999999999996E-3</v>
      </c>
      <c r="G283" s="15"/>
    </row>
    <row r="284" spans="1:7" x14ac:dyDescent="0.35">
      <c r="A284" s="12" t="s">
        <v>1324</v>
      </c>
      <c r="B284" s="30"/>
      <c r="C284" s="30" t="s">
        <v>885</v>
      </c>
      <c r="D284" s="41">
        <v>-44500</v>
      </c>
      <c r="E284" s="23">
        <v>-3196.75</v>
      </c>
      <c r="F284" s="24">
        <v>-5.7749999999999998E-3</v>
      </c>
      <c r="G284" s="15"/>
    </row>
    <row r="285" spans="1:7" x14ac:dyDescent="0.35">
      <c r="A285" s="12" t="s">
        <v>1325</v>
      </c>
      <c r="B285" s="30"/>
      <c r="C285" s="30" t="s">
        <v>958</v>
      </c>
      <c r="D285" s="41">
        <v>-545600</v>
      </c>
      <c r="E285" s="23">
        <v>-3207.04</v>
      </c>
      <c r="F285" s="24">
        <v>-5.7939999999999997E-3</v>
      </c>
      <c r="G285" s="15"/>
    </row>
    <row r="286" spans="1:7" x14ac:dyDescent="0.35">
      <c r="A286" s="12" t="s">
        <v>1326</v>
      </c>
      <c r="B286" s="30"/>
      <c r="C286" s="30" t="s">
        <v>862</v>
      </c>
      <c r="D286" s="41">
        <v>-1101600</v>
      </c>
      <c r="E286" s="23">
        <v>-3208.41</v>
      </c>
      <c r="F286" s="24">
        <v>-5.7959999999999999E-3</v>
      </c>
      <c r="G286" s="15"/>
    </row>
    <row r="287" spans="1:7" x14ac:dyDescent="0.35">
      <c r="A287" s="12" t="s">
        <v>1327</v>
      </c>
      <c r="B287" s="30"/>
      <c r="C287" s="30" t="s">
        <v>953</v>
      </c>
      <c r="D287" s="41">
        <v>-21250</v>
      </c>
      <c r="E287" s="23">
        <v>-3520.05</v>
      </c>
      <c r="F287" s="24">
        <v>-6.3590000000000001E-3</v>
      </c>
      <c r="G287" s="15"/>
    </row>
    <row r="288" spans="1:7" x14ac:dyDescent="0.35">
      <c r="A288" s="12" t="s">
        <v>1328</v>
      </c>
      <c r="B288" s="30"/>
      <c r="C288" s="30" t="s">
        <v>950</v>
      </c>
      <c r="D288" s="41">
        <v>-1126400</v>
      </c>
      <c r="E288" s="23">
        <v>-3939.58</v>
      </c>
      <c r="F288" s="24">
        <v>-7.1170000000000001E-3</v>
      </c>
      <c r="G288" s="15"/>
    </row>
    <row r="289" spans="1:7" x14ac:dyDescent="0.35">
      <c r="A289" s="12" t="s">
        <v>1329</v>
      </c>
      <c r="B289" s="30"/>
      <c r="C289" s="30" t="s">
        <v>885</v>
      </c>
      <c r="D289" s="41">
        <v>-465300</v>
      </c>
      <c r="E289" s="23">
        <v>-3975.76</v>
      </c>
      <c r="F289" s="24">
        <v>-7.1830000000000001E-3</v>
      </c>
      <c r="G289" s="15"/>
    </row>
    <row r="290" spans="1:7" x14ac:dyDescent="0.35">
      <c r="A290" s="12" t="s">
        <v>1330</v>
      </c>
      <c r="B290" s="30"/>
      <c r="C290" s="30" t="s">
        <v>882</v>
      </c>
      <c r="D290" s="41">
        <v>-760500</v>
      </c>
      <c r="E290" s="23">
        <v>-3984.64</v>
      </c>
      <c r="F290" s="24">
        <v>-7.1989999999999997E-3</v>
      </c>
      <c r="G290" s="15"/>
    </row>
    <row r="291" spans="1:7" x14ac:dyDescent="0.35">
      <c r="A291" s="12" t="s">
        <v>1331</v>
      </c>
      <c r="B291" s="30"/>
      <c r="C291" s="30" t="s">
        <v>943</v>
      </c>
      <c r="D291" s="41">
        <v>-919800</v>
      </c>
      <c r="E291" s="23">
        <v>-4009.41</v>
      </c>
      <c r="F291" s="24">
        <v>-7.2439999999999996E-3</v>
      </c>
      <c r="G291" s="15"/>
    </row>
    <row r="292" spans="1:7" x14ac:dyDescent="0.35">
      <c r="A292" s="12" t="s">
        <v>1332</v>
      </c>
      <c r="B292" s="30"/>
      <c r="C292" s="30" t="s">
        <v>940</v>
      </c>
      <c r="D292" s="41">
        <v>-304200</v>
      </c>
      <c r="E292" s="23">
        <v>-4111.26</v>
      </c>
      <c r="F292" s="24">
        <v>-7.4279999999999997E-3</v>
      </c>
      <c r="G292" s="15"/>
    </row>
    <row r="293" spans="1:7" x14ac:dyDescent="0.35">
      <c r="A293" s="12" t="s">
        <v>1333</v>
      </c>
      <c r="B293" s="30"/>
      <c r="C293" s="30" t="s">
        <v>937</v>
      </c>
      <c r="D293" s="41">
        <v>-274400</v>
      </c>
      <c r="E293" s="23">
        <v>-4241.68</v>
      </c>
      <c r="F293" s="24">
        <v>-7.6629999999999997E-3</v>
      </c>
      <c r="G293" s="15"/>
    </row>
    <row r="294" spans="1:7" x14ac:dyDescent="0.35">
      <c r="A294" s="12" t="s">
        <v>1334</v>
      </c>
      <c r="B294" s="30"/>
      <c r="C294" s="30" t="s">
        <v>934</v>
      </c>
      <c r="D294" s="41">
        <v>-5838000</v>
      </c>
      <c r="E294" s="23">
        <v>-4346.3900000000003</v>
      </c>
      <c r="F294" s="24">
        <v>-7.8519999999999996E-3</v>
      </c>
      <c r="G294" s="15"/>
    </row>
    <row r="295" spans="1:7" x14ac:dyDescent="0.35">
      <c r="A295" s="12" t="s">
        <v>1335</v>
      </c>
      <c r="B295" s="30"/>
      <c r="C295" s="30" t="s">
        <v>931</v>
      </c>
      <c r="D295" s="41">
        <v>-397000</v>
      </c>
      <c r="E295" s="23">
        <v>-4520.4399999999996</v>
      </c>
      <c r="F295" s="24">
        <v>-8.1670000000000006E-3</v>
      </c>
      <c r="G295" s="15"/>
    </row>
    <row r="296" spans="1:7" x14ac:dyDescent="0.35">
      <c r="A296" s="12" t="s">
        <v>1336</v>
      </c>
      <c r="B296" s="30"/>
      <c r="C296" s="30" t="s">
        <v>862</v>
      </c>
      <c r="D296" s="41">
        <v>-3705000</v>
      </c>
      <c r="E296" s="23">
        <v>-5033.24</v>
      </c>
      <c r="F296" s="24">
        <v>-9.0930000000000004E-3</v>
      </c>
      <c r="G296" s="15"/>
    </row>
    <row r="297" spans="1:7" x14ac:dyDescent="0.35">
      <c r="A297" s="12" t="s">
        <v>1337</v>
      </c>
      <c r="B297" s="30"/>
      <c r="C297" s="30" t="s">
        <v>911</v>
      </c>
      <c r="D297" s="41">
        <v>-485400</v>
      </c>
      <c r="E297" s="23">
        <v>-5122.18</v>
      </c>
      <c r="F297" s="24">
        <v>-9.2540000000000001E-3</v>
      </c>
      <c r="G297" s="15"/>
    </row>
    <row r="298" spans="1:7" x14ac:dyDescent="0.35">
      <c r="A298" s="12" t="s">
        <v>1338</v>
      </c>
      <c r="B298" s="30"/>
      <c r="C298" s="30" t="s">
        <v>877</v>
      </c>
      <c r="D298" s="41">
        <v>-4970400</v>
      </c>
      <c r="E298" s="23">
        <v>-5335.72</v>
      </c>
      <c r="F298" s="24">
        <v>-9.6399999999999993E-3</v>
      </c>
      <c r="G298" s="15"/>
    </row>
    <row r="299" spans="1:7" x14ac:dyDescent="0.35">
      <c r="A299" s="12" t="s">
        <v>1339</v>
      </c>
      <c r="B299" s="30"/>
      <c r="C299" s="30" t="s">
        <v>922</v>
      </c>
      <c r="D299" s="41">
        <v>-300000</v>
      </c>
      <c r="E299" s="23">
        <v>-5373</v>
      </c>
      <c r="F299" s="24">
        <v>-9.7070000000000004E-3</v>
      </c>
      <c r="G299" s="15"/>
    </row>
    <row r="300" spans="1:7" x14ac:dyDescent="0.35">
      <c r="A300" s="12" t="s">
        <v>1340</v>
      </c>
      <c r="B300" s="30"/>
      <c r="C300" s="30" t="s">
        <v>911</v>
      </c>
      <c r="D300" s="41">
        <v>-168900</v>
      </c>
      <c r="E300" s="23">
        <v>-5412.4</v>
      </c>
      <c r="F300" s="24">
        <v>-9.7780000000000002E-3</v>
      </c>
      <c r="G300" s="15"/>
    </row>
    <row r="301" spans="1:7" x14ac:dyDescent="0.35">
      <c r="A301" s="12" t="s">
        <v>1341</v>
      </c>
      <c r="B301" s="30"/>
      <c r="C301" s="30" t="s">
        <v>862</v>
      </c>
      <c r="D301" s="41">
        <v>-606000</v>
      </c>
      <c r="E301" s="23">
        <v>-5510.06</v>
      </c>
      <c r="F301" s="24">
        <v>-9.9550000000000003E-3</v>
      </c>
      <c r="G301" s="15"/>
    </row>
    <row r="302" spans="1:7" x14ac:dyDescent="0.35">
      <c r="A302" s="12" t="s">
        <v>1342</v>
      </c>
      <c r="B302" s="30"/>
      <c r="C302" s="30" t="s">
        <v>862</v>
      </c>
      <c r="D302" s="41">
        <v>-511650</v>
      </c>
      <c r="E302" s="23">
        <v>-5880.14</v>
      </c>
      <c r="F302" s="24">
        <v>-1.0623E-2</v>
      </c>
      <c r="G302" s="15"/>
    </row>
    <row r="303" spans="1:7" x14ac:dyDescent="0.35">
      <c r="A303" s="12" t="s">
        <v>1343</v>
      </c>
      <c r="B303" s="30"/>
      <c r="C303" s="30" t="s">
        <v>911</v>
      </c>
      <c r="D303" s="41">
        <v>-173800</v>
      </c>
      <c r="E303" s="23">
        <v>-5946.13</v>
      </c>
      <c r="F303" s="24">
        <v>-1.0743000000000001E-2</v>
      </c>
      <c r="G303" s="15"/>
    </row>
    <row r="304" spans="1:7" x14ac:dyDescent="0.35">
      <c r="A304" s="12" t="s">
        <v>1344</v>
      </c>
      <c r="B304" s="30"/>
      <c r="C304" s="30" t="s">
        <v>911</v>
      </c>
      <c r="D304" s="41">
        <v>-619500</v>
      </c>
      <c r="E304" s="23">
        <v>-6471.61</v>
      </c>
      <c r="F304" s="24">
        <v>-1.1691999999999999E-2</v>
      </c>
      <c r="G304" s="15"/>
    </row>
    <row r="305" spans="1:7" x14ac:dyDescent="0.35">
      <c r="A305" s="12" t="s">
        <v>1345</v>
      </c>
      <c r="B305" s="30"/>
      <c r="C305" s="30" t="s">
        <v>908</v>
      </c>
      <c r="D305" s="41">
        <v>-1278000</v>
      </c>
      <c r="E305" s="23">
        <v>-6849.44</v>
      </c>
      <c r="F305" s="24">
        <v>-1.2375000000000001E-2</v>
      </c>
      <c r="G305" s="15"/>
    </row>
    <row r="306" spans="1:7" x14ac:dyDescent="0.35">
      <c r="A306" s="12" t="s">
        <v>1346</v>
      </c>
      <c r="B306" s="30"/>
      <c r="C306" s="30" t="s">
        <v>885</v>
      </c>
      <c r="D306" s="41">
        <v>-8850000</v>
      </c>
      <c r="E306" s="23">
        <v>-6889.73</v>
      </c>
      <c r="F306" s="24">
        <v>-1.2448000000000001E-2</v>
      </c>
      <c r="G306" s="15"/>
    </row>
    <row r="307" spans="1:7" x14ac:dyDescent="0.35">
      <c r="A307" s="12" t="s">
        <v>1347</v>
      </c>
      <c r="B307" s="30"/>
      <c r="C307" s="30" t="s">
        <v>862</v>
      </c>
      <c r="D307" s="41">
        <v>-4703400</v>
      </c>
      <c r="E307" s="23">
        <v>-6986.9</v>
      </c>
      <c r="F307" s="24">
        <v>-1.2623000000000001E-2</v>
      </c>
      <c r="G307" s="15"/>
    </row>
    <row r="308" spans="1:7" x14ac:dyDescent="0.35">
      <c r="A308" s="12" t="s">
        <v>1348</v>
      </c>
      <c r="B308" s="30"/>
      <c r="C308" s="30" t="s">
        <v>901</v>
      </c>
      <c r="D308" s="41">
        <v>-3098250</v>
      </c>
      <c r="E308" s="23">
        <v>-7026.83</v>
      </c>
      <c r="F308" s="24">
        <v>-1.2695E-2</v>
      </c>
      <c r="G308" s="15"/>
    </row>
    <row r="309" spans="1:7" x14ac:dyDescent="0.35">
      <c r="A309" s="12" t="s">
        <v>1349</v>
      </c>
      <c r="B309" s="30"/>
      <c r="C309" s="30" t="s">
        <v>898</v>
      </c>
      <c r="D309" s="41">
        <v>-73600</v>
      </c>
      <c r="E309" s="23">
        <v>-7031.49</v>
      </c>
      <c r="F309" s="24">
        <v>-1.2704E-2</v>
      </c>
      <c r="G309" s="15"/>
    </row>
    <row r="310" spans="1:7" x14ac:dyDescent="0.35">
      <c r="A310" s="12" t="s">
        <v>1350</v>
      </c>
      <c r="B310" s="30"/>
      <c r="C310" s="30" t="s">
        <v>862</v>
      </c>
      <c r="D310" s="41">
        <v>-502700</v>
      </c>
      <c r="E310" s="23">
        <v>-7556.84</v>
      </c>
      <c r="F310" s="24">
        <v>-1.3653E-2</v>
      </c>
      <c r="G310" s="15"/>
    </row>
    <row r="311" spans="1:7" x14ac:dyDescent="0.35">
      <c r="A311" s="12" t="s">
        <v>1351</v>
      </c>
      <c r="B311" s="30"/>
      <c r="C311" s="30" t="s">
        <v>893</v>
      </c>
      <c r="D311" s="41">
        <v>-856250</v>
      </c>
      <c r="E311" s="23">
        <v>-7709.68</v>
      </c>
      <c r="F311" s="24">
        <v>-1.3929E-2</v>
      </c>
      <c r="G311" s="15"/>
    </row>
    <row r="312" spans="1:7" x14ac:dyDescent="0.35">
      <c r="A312" s="12" t="s">
        <v>1352</v>
      </c>
      <c r="B312" s="30"/>
      <c r="C312" s="30" t="s">
        <v>862</v>
      </c>
      <c r="D312" s="41">
        <v>-851125</v>
      </c>
      <c r="E312" s="23">
        <v>-7776.3</v>
      </c>
      <c r="F312" s="24">
        <v>-1.4049000000000001E-2</v>
      </c>
      <c r="G312" s="15"/>
    </row>
    <row r="313" spans="1:7" x14ac:dyDescent="0.35">
      <c r="A313" s="12" t="s">
        <v>1353</v>
      </c>
      <c r="B313" s="30"/>
      <c r="C313" s="30" t="s">
        <v>888</v>
      </c>
      <c r="D313" s="41">
        <v>-1063400</v>
      </c>
      <c r="E313" s="23">
        <v>-7806.95</v>
      </c>
      <c r="F313" s="24">
        <v>-1.4104999999999999E-2</v>
      </c>
      <c r="G313" s="15"/>
    </row>
    <row r="314" spans="1:7" x14ac:dyDescent="0.35">
      <c r="A314" s="12" t="s">
        <v>1354</v>
      </c>
      <c r="B314" s="30"/>
      <c r="C314" s="30" t="s">
        <v>885</v>
      </c>
      <c r="D314" s="41">
        <v>-345300</v>
      </c>
      <c r="E314" s="23">
        <v>-8560.85</v>
      </c>
      <c r="F314" s="24">
        <v>-1.5467E-2</v>
      </c>
      <c r="G314" s="15"/>
    </row>
    <row r="315" spans="1:7" x14ac:dyDescent="0.35">
      <c r="A315" s="12" t="s">
        <v>1355</v>
      </c>
      <c r="B315" s="30"/>
      <c r="C315" s="30" t="s">
        <v>882</v>
      </c>
      <c r="D315" s="41">
        <v>-3396000</v>
      </c>
      <c r="E315" s="23">
        <v>-8965.44</v>
      </c>
      <c r="F315" s="24">
        <v>-1.6198000000000001E-2</v>
      </c>
      <c r="G315" s="15"/>
    </row>
    <row r="316" spans="1:7" x14ac:dyDescent="0.35">
      <c r="A316" s="12" t="s">
        <v>1356</v>
      </c>
      <c r="B316" s="30"/>
      <c r="C316" s="30" t="s">
        <v>862</v>
      </c>
      <c r="D316" s="41">
        <v>-22048000</v>
      </c>
      <c r="E316" s="23">
        <v>-9469.6200000000008</v>
      </c>
      <c r="F316" s="24">
        <v>-1.7108999999999999E-2</v>
      </c>
      <c r="G316" s="15"/>
    </row>
    <row r="317" spans="1:7" x14ac:dyDescent="0.35">
      <c r="A317" s="12" t="s">
        <v>1357</v>
      </c>
      <c r="B317" s="30"/>
      <c r="C317" s="30" t="s">
        <v>877</v>
      </c>
      <c r="D317" s="41">
        <v>-386175</v>
      </c>
      <c r="E317" s="23">
        <v>-9807.69</v>
      </c>
      <c r="F317" s="24">
        <v>-1.772E-2</v>
      </c>
      <c r="G317" s="15"/>
    </row>
    <row r="318" spans="1:7" x14ac:dyDescent="0.35">
      <c r="A318" s="12" t="s">
        <v>1358</v>
      </c>
      <c r="B318" s="30"/>
      <c r="C318" s="30" t="s">
        <v>874</v>
      </c>
      <c r="D318" s="41">
        <v>-2449925</v>
      </c>
      <c r="E318" s="23">
        <v>-9958.9500000000007</v>
      </c>
      <c r="F318" s="24">
        <v>-1.7992999999999999E-2</v>
      </c>
      <c r="G318" s="15"/>
    </row>
    <row r="319" spans="1:7" x14ac:dyDescent="0.35">
      <c r="A319" s="12" t="s">
        <v>1359</v>
      </c>
      <c r="B319" s="30"/>
      <c r="C319" s="30" t="s">
        <v>871</v>
      </c>
      <c r="D319" s="41">
        <v>-332000</v>
      </c>
      <c r="E319" s="23">
        <v>-11170.97</v>
      </c>
      <c r="F319" s="24">
        <v>-2.0183E-2</v>
      </c>
      <c r="G319" s="15"/>
    </row>
    <row r="320" spans="1:7" x14ac:dyDescent="0.35">
      <c r="A320" s="12" t="s">
        <v>1360</v>
      </c>
      <c r="B320" s="30"/>
      <c r="C320" s="30" t="s">
        <v>868</v>
      </c>
      <c r="D320" s="41">
        <v>-8545000</v>
      </c>
      <c r="E320" s="23">
        <v>-13146.48</v>
      </c>
      <c r="F320" s="24">
        <v>-2.3751999999999999E-2</v>
      </c>
      <c r="G320" s="15"/>
    </row>
    <row r="321" spans="1:7" x14ac:dyDescent="0.35">
      <c r="A321" s="12" t="s">
        <v>1361</v>
      </c>
      <c r="B321" s="30"/>
      <c r="C321" s="30" t="s">
        <v>865</v>
      </c>
      <c r="D321" s="41">
        <v>-544250</v>
      </c>
      <c r="E321" s="23">
        <v>-13915.38</v>
      </c>
      <c r="F321" s="24">
        <v>-2.5141E-2</v>
      </c>
      <c r="G321" s="15"/>
    </row>
    <row r="322" spans="1:7" x14ac:dyDescent="0.35">
      <c r="A322" s="12" t="s">
        <v>1362</v>
      </c>
      <c r="B322" s="30"/>
      <c r="C322" s="30" t="s">
        <v>862</v>
      </c>
      <c r="D322" s="41">
        <v>-811200</v>
      </c>
      <c r="E322" s="23">
        <v>-15470.8</v>
      </c>
      <c r="F322" s="24">
        <v>-2.7951E-2</v>
      </c>
      <c r="G322" s="15"/>
    </row>
    <row r="323" spans="1:7" x14ac:dyDescent="0.35">
      <c r="A323" s="12" t="s">
        <v>1363</v>
      </c>
      <c r="B323" s="30"/>
      <c r="C323" s="30" t="s">
        <v>859</v>
      </c>
      <c r="D323" s="41">
        <v>-2591250</v>
      </c>
      <c r="E323" s="23">
        <v>-21440</v>
      </c>
      <c r="F323" s="24">
        <v>-3.8736E-2</v>
      </c>
      <c r="G323" s="15"/>
    </row>
    <row r="324" spans="1:7" x14ac:dyDescent="0.35">
      <c r="A324" s="16" t="s">
        <v>102</v>
      </c>
      <c r="B324" s="31"/>
      <c r="C324" s="31"/>
      <c r="D324" s="17"/>
      <c r="E324" s="42">
        <v>-401965.6</v>
      </c>
      <c r="F324" s="43">
        <v>-0.72617699999999996</v>
      </c>
      <c r="G324" s="20"/>
    </row>
    <row r="325" spans="1:7" x14ac:dyDescent="0.35">
      <c r="A325" s="12"/>
      <c r="B325" s="30"/>
      <c r="C325" s="30"/>
      <c r="D325" s="13"/>
      <c r="E325" s="14"/>
      <c r="F325" s="15"/>
      <c r="G325" s="15"/>
    </row>
    <row r="326" spans="1:7" x14ac:dyDescent="0.35">
      <c r="A326" s="12"/>
      <c r="B326" s="30"/>
      <c r="C326" s="30"/>
      <c r="D326" s="13"/>
      <c r="E326" s="14"/>
      <c r="F326" s="15"/>
      <c r="G326" s="15"/>
    </row>
    <row r="327" spans="1:7" x14ac:dyDescent="0.35">
      <c r="A327" s="12"/>
      <c r="B327" s="30"/>
      <c r="C327" s="30"/>
      <c r="D327" s="13"/>
      <c r="E327" s="14"/>
      <c r="F327" s="15"/>
      <c r="G327" s="15"/>
    </row>
    <row r="328" spans="1:7" x14ac:dyDescent="0.35">
      <c r="A328" s="21" t="s">
        <v>129</v>
      </c>
      <c r="B328" s="32"/>
      <c r="C328" s="32"/>
      <c r="D328" s="22"/>
      <c r="E328" s="44">
        <v>-401965.6</v>
      </c>
      <c r="F328" s="45">
        <v>-0.72617699999999996</v>
      </c>
      <c r="G328" s="20"/>
    </row>
    <row r="329" spans="1:7" x14ac:dyDescent="0.35">
      <c r="A329" s="12"/>
      <c r="B329" s="30"/>
      <c r="C329" s="30"/>
      <c r="D329" s="13"/>
      <c r="E329" s="14"/>
      <c r="F329" s="15"/>
      <c r="G329" s="15"/>
    </row>
    <row r="330" spans="1:7" x14ac:dyDescent="0.35">
      <c r="A330" s="16" t="s">
        <v>137</v>
      </c>
      <c r="B330" s="30"/>
      <c r="C330" s="30"/>
      <c r="D330" s="13"/>
      <c r="E330" s="14"/>
      <c r="F330" s="15"/>
      <c r="G330" s="15"/>
    </row>
    <row r="331" spans="1:7" x14ac:dyDescent="0.35">
      <c r="A331" s="16" t="s">
        <v>138</v>
      </c>
      <c r="B331" s="30"/>
      <c r="C331" s="30"/>
      <c r="D331" s="13"/>
      <c r="E331" s="14"/>
      <c r="F331" s="15"/>
      <c r="G331" s="15"/>
    </row>
    <row r="332" spans="1:7" x14ac:dyDescent="0.35">
      <c r="A332" s="12" t="s">
        <v>1364</v>
      </c>
      <c r="B332" s="30" t="s">
        <v>1365</v>
      </c>
      <c r="C332" s="30" t="s">
        <v>141</v>
      </c>
      <c r="D332" s="13">
        <v>12500000</v>
      </c>
      <c r="E332" s="14">
        <v>12498.93</v>
      </c>
      <c r="F332" s="15">
        <v>2.2599999999999999E-2</v>
      </c>
      <c r="G332" s="15">
        <v>6.8498000000000003E-2</v>
      </c>
    </row>
    <row r="333" spans="1:7" x14ac:dyDescent="0.35">
      <c r="A333" s="16" t="s">
        <v>102</v>
      </c>
      <c r="B333" s="31"/>
      <c r="C333" s="31"/>
      <c r="D333" s="17"/>
      <c r="E333" s="37">
        <v>12498.93</v>
      </c>
      <c r="F333" s="38">
        <v>2.2599999999999999E-2</v>
      </c>
      <c r="G333" s="20"/>
    </row>
    <row r="334" spans="1:7" x14ac:dyDescent="0.35">
      <c r="A334" s="12"/>
      <c r="B334" s="30"/>
      <c r="C334" s="30"/>
      <c r="D334" s="13"/>
      <c r="E334" s="14"/>
      <c r="F334" s="15"/>
      <c r="G334" s="15"/>
    </row>
    <row r="335" spans="1:7" x14ac:dyDescent="0.35">
      <c r="A335" s="16" t="s">
        <v>403</v>
      </c>
      <c r="B335" s="30"/>
      <c r="C335" s="30"/>
      <c r="D335" s="13"/>
      <c r="E335" s="14"/>
      <c r="F335" s="15"/>
      <c r="G335" s="15"/>
    </row>
    <row r="336" spans="1:7" x14ac:dyDescent="0.35">
      <c r="A336" s="12" t="s">
        <v>1366</v>
      </c>
      <c r="B336" s="30" t="s">
        <v>1367</v>
      </c>
      <c r="C336" s="30" t="s">
        <v>101</v>
      </c>
      <c r="D336" s="13">
        <v>12500000</v>
      </c>
      <c r="E336" s="14">
        <v>12516.2</v>
      </c>
      <c r="F336" s="15">
        <v>2.2599999999999999E-2</v>
      </c>
      <c r="G336" s="15">
        <v>6.9061999999999998E-2</v>
      </c>
    </row>
    <row r="337" spans="1:7" x14ac:dyDescent="0.35">
      <c r="A337" s="12" t="s">
        <v>1368</v>
      </c>
      <c r="B337" s="30" t="s">
        <v>1369</v>
      </c>
      <c r="C337" s="30" t="s">
        <v>101</v>
      </c>
      <c r="D337" s="13">
        <v>10000000</v>
      </c>
      <c r="E337" s="14">
        <v>10180.23</v>
      </c>
      <c r="F337" s="15">
        <v>1.84E-2</v>
      </c>
      <c r="G337" s="15">
        <v>7.0377999999999996E-2</v>
      </c>
    </row>
    <row r="338" spans="1:7" x14ac:dyDescent="0.35">
      <c r="A338" s="12" t="s">
        <v>1370</v>
      </c>
      <c r="B338" s="30" t="s">
        <v>1371</v>
      </c>
      <c r="C338" s="30" t="s">
        <v>101</v>
      </c>
      <c r="D338" s="13">
        <v>5000000</v>
      </c>
      <c r="E338" s="14">
        <v>5003.4799999999996</v>
      </c>
      <c r="F338" s="15">
        <v>8.9999999999999993E-3</v>
      </c>
      <c r="G338" s="15">
        <v>6.2454999999999997E-2</v>
      </c>
    </row>
    <row r="339" spans="1:7" x14ac:dyDescent="0.35">
      <c r="A339" s="12" t="s">
        <v>1372</v>
      </c>
      <c r="B339" s="30" t="s">
        <v>1373</v>
      </c>
      <c r="C339" s="30" t="s">
        <v>101</v>
      </c>
      <c r="D339" s="13">
        <v>5000000</v>
      </c>
      <c r="E339" s="14">
        <v>4997.59</v>
      </c>
      <c r="F339" s="15">
        <v>8.9999999999999993E-3</v>
      </c>
      <c r="G339" s="15">
        <v>6.1060999999999997E-2</v>
      </c>
    </row>
    <row r="340" spans="1:7" x14ac:dyDescent="0.35">
      <c r="A340" s="12" t="s">
        <v>1374</v>
      </c>
      <c r="B340" s="30" t="s">
        <v>1375</v>
      </c>
      <c r="C340" s="30" t="s">
        <v>101</v>
      </c>
      <c r="D340" s="13">
        <v>5000000</v>
      </c>
      <c r="E340" s="14">
        <v>4975.38</v>
      </c>
      <c r="F340" s="15">
        <v>8.9999999999999993E-3</v>
      </c>
      <c r="G340" s="15">
        <v>7.0022000000000001E-2</v>
      </c>
    </row>
    <row r="341" spans="1:7" x14ac:dyDescent="0.35">
      <c r="A341" s="16" t="s">
        <v>102</v>
      </c>
      <c r="B341" s="31"/>
      <c r="C341" s="31"/>
      <c r="D341" s="17"/>
      <c r="E341" s="37">
        <v>37672.879999999997</v>
      </c>
      <c r="F341" s="38">
        <v>6.8000000000000005E-2</v>
      </c>
      <c r="G341" s="20"/>
    </row>
    <row r="342" spans="1:7" x14ac:dyDescent="0.35">
      <c r="A342" s="12"/>
      <c r="B342" s="30"/>
      <c r="C342" s="30"/>
      <c r="D342" s="13"/>
      <c r="E342" s="14"/>
      <c r="F342" s="15"/>
      <c r="G342" s="15"/>
    </row>
    <row r="343" spans="1:7" x14ac:dyDescent="0.35">
      <c r="A343" s="16" t="s">
        <v>192</v>
      </c>
      <c r="B343" s="30"/>
      <c r="C343" s="30"/>
      <c r="D343" s="13"/>
      <c r="E343" s="14"/>
      <c r="F343" s="15"/>
      <c r="G343" s="15"/>
    </row>
    <row r="344" spans="1:7" x14ac:dyDescent="0.35">
      <c r="A344" s="16" t="s">
        <v>102</v>
      </c>
      <c r="B344" s="30"/>
      <c r="C344" s="30"/>
      <c r="D344" s="13"/>
      <c r="E344" s="39" t="s">
        <v>96</v>
      </c>
      <c r="F344" s="40" t="s">
        <v>96</v>
      </c>
      <c r="G344" s="15"/>
    </row>
    <row r="345" spans="1:7" x14ac:dyDescent="0.35">
      <c r="A345" s="12"/>
      <c r="B345" s="30"/>
      <c r="C345" s="30"/>
      <c r="D345" s="13"/>
      <c r="E345" s="14"/>
      <c r="F345" s="15"/>
      <c r="G345" s="15"/>
    </row>
    <row r="346" spans="1:7" x14ac:dyDescent="0.35">
      <c r="A346" s="16" t="s">
        <v>193</v>
      </c>
      <c r="B346" s="30"/>
      <c r="C346" s="30"/>
      <c r="D346" s="13"/>
      <c r="E346" s="14"/>
      <c r="F346" s="15"/>
      <c r="G346" s="15"/>
    </row>
    <row r="347" spans="1:7" x14ac:dyDescent="0.35">
      <c r="A347" s="16" t="s">
        <v>102</v>
      </c>
      <c r="B347" s="30"/>
      <c r="C347" s="30"/>
      <c r="D347" s="13"/>
      <c r="E347" s="39" t="s">
        <v>96</v>
      </c>
      <c r="F347" s="40" t="s">
        <v>96</v>
      </c>
      <c r="G347" s="15"/>
    </row>
    <row r="348" spans="1:7" x14ac:dyDescent="0.35">
      <c r="A348" s="12"/>
      <c r="B348" s="30"/>
      <c r="C348" s="30"/>
      <c r="D348" s="13"/>
      <c r="E348" s="14"/>
      <c r="F348" s="15"/>
      <c r="G348" s="15"/>
    </row>
    <row r="349" spans="1:7" x14ac:dyDescent="0.35">
      <c r="A349" s="21" t="s">
        <v>129</v>
      </c>
      <c r="B349" s="32"/>
      <c r="C349" s="32"/>
      <c r="D349" s="22"/>
      <c r="E349" s="18">
        <v>50171.81</v>
      </c>
      <c r="F349" s="19">
        <v>9.06E-2</v>
      </c>
      <c r="G349" s="20"/>
    </row>
    <row r="350" spans="1:7" x14ac:dyDescent="0.35">
      <c r="A350" s="12"/>
      <c r="B350" s="30"/>
      <c r="C350" s="30"/>
      <c r="D350" s="13"/>
      <c r="E350" s="14"/>
      <c r="F350" s="15"/>
      <c r="G350" s="15"/>
    </row>
    <row r="351" spans="1:7" x14ac:dyDescent="0.35">
      <c r="A351" s="16" t="s">
        <v>97</v>
      </c>
      <c r="B351" s="30"/>
      <c r="C351" s="30"/>
      <c r="D351" s="13"/>
      <c r="E351" s="14"/>
      <c r="F351" s="15"/>
      <c r="G351" s="15"/>
    </row>
    <row r="352" spans="1:7" x14ac:dyDescent="0.35">
      <c r="A352" s="12"/>
      <c r="B352" s="30"/>
      <c r="C352" s="30"/>
      <c r="D352" s="13"/>
      <c r="E352" s="14"/>
      <c r="F352" s="15"/>
      <c r="G352" s="15"/>
    </row>
    <row r="353" spans="1:7" x14ac:dyDescent="0.35">
      <c r="A353" s="16" t="s">
        <v>98</v>
      </c>
      <c r="B353" s="30"/>
      <c r="C353" s="30"/>
      <c r="D353" s="13"/>
      <c r="E353" s="14"/>
      <c r="F353" s="15"/>
      <c r="G353" s="15"/>
    </row>
    <row r="354" spans="1:7" x14ac:dyDescent="0.35">
      <c r="A354" s="12" t="s">
        <v>1376</v>
      </c>
      <c r="B354" s="30" t="s">
        <v>1377</v>
      </c>
      <c r="C354" s="30" t="s">
        <v>101</v>
      </c>
      <c r="D354" s="13">
        <v>10000000</v>
      </c>
      <c r="E354" s="14">
        <v>9926.41</v>
      </c>
      <c r="F354" s="15">
        <v>1.7899999999999999E-2</v>
      </c>
      <c r="G354" s="15">
        <v>6.1498999999999998E-2</v>
      </c>
    </row>
    <row r="355" spans="1:7" x14ac:dyDescent="0.35">
      <c r="A355" s="12" t="s">
        <v>1378</v>
      </c>
      <c r="B355" s="30" t="s">
        <v>1379</v>
      </c>
      <c r="C355" s="30" t="s">
        <v>101</v>
      </c>
      <c r="D355" s="13">
        <v>10000000</v>
      </c>
      <c r="E355" s="14">
        <v>9862.85</v>
      </c>
      <c r="F355" s="15">
        <v>1.78E-2</v>
      </c>
      <c r="G355" s="15">
        <v>6.4248E-2</v>
      </c>
    </row>
    <row r="356" spans="1:7" x14ac:dyDescent="0.35">
      <c r="A356" s="12" t="s">
        <v>1380</v>
      </c>
      <c r="B356" s="30" t="s">
        <v>1381</v>
      </c>
      <c r="C356" s="30" t="s">
        <v>101</v>
      </c>
      <c r="D356" s="13">
        <v>10000000</v>
      </c>
      <c r="E356" s="14">
        <v>9762.77</v>
      </c>
      <c r="F356" s="15">
        <v>1.7600000000000001E-2</v>
      </c>
      <c r="G356" s="15">
        <v>6.5699999999999995E-2</v>
      </c>
    </row>
    <row r="357" spans="1:7" x14ac:dyDescent="0.35">
      <c r="A357" s="12" t="s">
        <v>1382</v>
      </c>
      <c r="B357" s="30" t="s">
        <v>1383</v>
      </c>
      <c r="C357" s="30" t="s">
        <v>101</v>
      </c>
      <c r="D357" s="13">
        <v>10000000</v>
      </c>
      <c r="E357" s="14">
        <v>9569.91</v>
      </c>
      <c r="F357" s="15">
        <v>1.7299999999999999E-2</v>
      </c>
      <c r="G357" s="15">
        <v>6.8349999999999994E-2</v>
      </c>
    </row>
    <row r="358" spans="1:7" x14ac:dyDescent="0.35">
      <c r="A358" s="12" t="s">
        <v>1384</v>
      </c>
      <c r="B358" s="30" t="s">
        <v>1385</v>
      </c>
      <c r="C358" s="30" t="s">
        <v>101</v>
      </c>
      <c r="D358" s="13">
        <v>7500000</v>
      </c>
      <c r="E358" s="14">
        <v>7186.45</v>
      </c>
      <c r="F358" s="15">
        <v>1.2999999999999999E-2</v>
      </c>
      <c r="G358" s="15">
        <v>6.8349999999999994E-2</v>
      </c>
    </row>
    <row r="359" spans="1:7" x14ac:dyDescent="0.35">
      <c r="A359" s="12" t="s">
        <v>1386</v>
      </c>
      <c r="B359" s="30" t="s">
        <v>1387</v>
      </c>
      <c r="C359" s="30" t="s">
        <v>101</v>
      </c>
      <c r="D359" s="13">
        <v>7000000</v>
      </c>
      <c r="E359" s="14">
        <v>6850.8</v>
      </c>
      <c r="F359" s="15">
        <v>1.24E-2</v>
      </c>
      <c r="G359" s="15">
        <v>6.5698999999999994E-2</v>
      </c>
    </row>
    <row r="360" spans="1:7" x14ac:dyDescent="0.35">
      <c r="A360" s="12" t="s">
        <v>1388</v>
      </c>
      <c r="B360" s="30" t="s">
        <v>1389</v>
      </c>
      <c r="C360" s="30" t="s">
        <v>101</v>
      </c>
      <c r="D360" s="13">
        <v>5000000</v>
      </c>
      <c r="E360" s="14">
        <v>4741.88</v>
      </c>
      <c r="F360" s="15">
        <v>8.6E-3</v>
      </c>
      <c r="G360" s="15">
        <v>6.8750000000000006E-2</v>
      </c>
    </row>
    <row r="361" spans="1:7" x14ac:dyDescent="0.35">
      <c r="A361" s="12" t="s">
        <v>1390</v>
      </c>
      <c r="B361" s="30" t="s">
        <v>1391</v>
      </c>
      <c r="C361" s="30" t="s">
        <v>101</v>
      </c>
      <c r="D361" s="13">
        <v>2500000</v>
      </c>
      <c r="E361" s="14">
        <v>2408.3000000000002</v>
      </c>
      <c r="F361" s="15">
        <v>4.4000000000000003E-3</v>
      </c>
      <c r="G361" s="15">
        <v>6.7799999999999999E-2</v>
      </c>
    </row>
    <row r="362" spans="1:7" x14ac:dyDescent="0.35">
      <c r="A362" s="12" t="s">
        <v>1392</v>
      </c>
      <c r="B362" s="30" t="s">
        <v>1393</v>
      </c>
      <c r="C362" s="30" t="s">
        <v>101</v>
      </c>
      <c r="D362" s="13">
        <v>500000</v>
      </c>
      <c r="E362" s="14">
        <v>494.41</v>
      </c>
      <c r="F362" s="15">
        <v>8.9999999999999998E-4</v>
      </c>
      <c r="G362" s="15">
        <v>6.3501000000000002E-2</v>
      </c>
    </row>
    <row r="363" spans="1:7" x14ac:dyDescent="0.35">
      <c r="A363" s="12" t="s">
        <v>1394</v>
      </c>
      <c r="B363" s="30" t="s">
        <v>1395</v>
      </c>
      <c r="C363" s="30" t="s">
        <v>101</v>
      </c>
      <c r="D363" s="13">
        <v>300000</v>
      </c>
      <c r="E363" s="14">
        <v>299.20999999999998</v>
      </c>
      <c r="F363" s="15">
        <v>5.0000000000000001E-4</v>
      </c>
      <c r="G363" s="15">
        <v>6.0247000000000002E-2</v>
      </c>
    </row>
    <row r="364" spans="1:7" x14ac:dyDescent="0.35">
      <c r="A364" s="12" t="s">
        <v>1396</v>
      </c>
      <c r="B364" s="30" t="s">
        <v>1397</v>
      </c>
      <c r="C364" s="30" t="s">
        <v>101</v>
      </c>
      <c r="D364" s="13">
        <v>200000</v>
      </c>
      <c r="E364" s="14">
        <v>198.28</v>
      </c>
      <c r="F364" s="15">
        <v>4.0000000000000002E-4</v>
      </c>
      <c r="G364" s="15">
        <v>6.2003000000000003E-2</v>
      </c>
    </row>
    <row r="365" spans="1:7" x14ac:dyDescent="0.35">
      <c r="A365" s="16" t="s">
        <v>102</v>
      </c>
      <c r="B365" s="31"/>
      <c r="C365" s="31"/>
      <c r="D365" s="17"/>
      <c r="E365" s="37">
        <v>61301.27</v>
      </c>
      <c r="F365" s="38">
        <v>0.1108</v>
      </c>
      <c r="G365" s="20"/>
    </row>
    <row r="366" spans="1:7" x14ac:dyDescent="0.35">
      <c r="A366" s="12"/>
      <c r="B366" s="30"/>
      <c r="C366" s="30"/>
      <c r="D366" s="13"/>
      <c r="E366" s="14"/>
      <c r="F366" s="15"/>
      <c r="G366" s="15"/>
    </row>
    <row r="367" spans="1:7" x14ac:dyDescent="0.35">
      <c r="A367" s="16" t="s">
        <v>125</v>
      </c>
      <c r="B367" s="30"/>
      <c r="C367" s="30"/>
      <c r="D367" s="13"/>
      <c r="E367" s="14"/>
      <c r="F367" s="15"/>
      <c r="G367" s="15"/>
    </row>
    <row r="368" spans="1:7" x14ac:dyDescent="0.35">
      <c r="A368" s="12" t="s">
        <v>2109</v>
      </c>
      <c r="B368" s="30" t="s">
        <v>1398</v>
      </c>
      <c r="C368" s="30" t="s">
        <v>111</v>
      </c>
      <c r="D368" s="13">
        <v>15000000</v>
      </c>
      <c r="E368" s="14">
        <v>14953.34</v>
      </c>
      <c r="F368" s="15">
        <v>2.7E-2</v>
      </c>
      <c r="G368" s="15">
        <v>6.7002999999999993E-2</v>
      </c>
    </row>
    <row r="369" spans="1:7" x14ac:dyDescent="0.35">
      <c r="A369" s="12" t="s">
        <v>2110</v>
      </c>
      <c r="B369" s="30" t="s">
        <v>1399</v>
      </c>
      <c r="C369" s="30" t="s">
        <v>106</v>
      </c>
      <c r="D369" s="13">
        <v>10000000</v>
      </c>
      <c r="E369" s="14">
        <v>9894.81</v>
      </c>
      <c r="F369" s="15">
        <v>1.7899999999999999E-2</v>
      </c>
      <c r="G369" s="15">
        <v>6.6901000000000002E-2</v>
      </c>
    </row>
    <row r="370" spans="1:7" x14ac:dyDescent="0.35">
      <c r="A370" s="16" t="s">
        <v>102</v>
      </c>
      <c r="B370" s="31"/>
      <c r="C370" s="31"/>
      <c r="D370" s="17"/>
      <c r="E370" s="37">
        <v>24848.15</v>
      </c>
      <c r="F370" s="38">
        <v>4.4900000000000002E-2</v>
      </c>
      <c r="G370" s="20"/>
    </row>
    <row r="371" spans="1:7" x14ac:dyDescent="0.35">
      <c r="A371" s="12"/>
      <c r="B371" s="30"/>
      <c r="C371" s="30"/>
      <c r="D371" s="13"/>
      <c r="E371" s="14"/>
      <c r="F371" s="15"/>
      <c r="G371" s="15"/>
    </row>
    <row r="372" spans="1:7" x14ac:dyDescent="0.35">
      <c r="A372" s="21" t="s">
        <v>129</v>
      </c>
      <c r="B372" s="32"/>
      <c r="C372" s="32"/>
      <c r="D372" s="22"/>
      <c r="E372" s="18">
        <v>86149.42</v>
      </c>
      <c r="F372" s="19">
        <v>0.15570000000000001</v>
      </c>
      <c r="G372" s="20"/>
    </row>
    <row r="373" spans="1:7" x14ac:dyDescent="0.35">
      <c r="A373" s="12"/>
      <c r="B373" s="30"/>
      <c r="C373" s="30"/>
      <c r="D373" s="13"/>
      <c r="E373" s="14"/>
      <c r="F373" s="15"/>
      <c r="G373" s="15"/>
    </row>
    <row r="374" spans="1:7" x14ac:dyDescent="0.35">
      <c r="A374" s="12"/>
      <c r="B374" s="30"/>
      <c r="C374" s="30"/>
      <c r="D374" s="13"/>
      <c r="E374" s="14"/>
      <c r="F374" s="15"/>
      <c r="G374" s="15"/>
    </row>
    <row r="375" spans="1:7" x14ac:dyDescent="0.35">
      <c r="A375" s="16" t="s">
        <v>130</v>
      </c>
      <c r="B375" s="30"/>
      <c r="C375" s="30"/>
      <c r="D375" s="13"/>
      <c r="E375" s="14"/>
      <c r="F375" s="15"/>
      <c r="G375" s="15"/>
    </row>
    <row r="376" spans="1:7" x14ac:dyDescent="0.35">
      <c r="A376" s="12" t="s">
        <v>131</v>
      </c>
      <c r="B376" s="30"/>
      <c r="C376" s="30"/>
      <c r="D376" s="13"/>
      <c r="E376" s="14">
        <v>20705.54</v>
      </c>
      <c r="F376" s="15">
        <v>3.7400000000000003E-2</v>
      </c>
      <c r="G376" s="89">
        <v>6.1074000000000003E-2</v>
      </c>
    </row>
    <row r="377" spans="1:7" x14ac:dyDescent="0.35">
      <c r="A377" s="16" t="s">
        <v>102</v>
      </c>
      <c r="B377" s="31"/>
      <c r="C377" s="31"/>
      <c r="D377" s="17"/>
      <c r="E377" s="37">
        <v>20705.54</v>
      </c>
      <c r="F377" s="38">
        <v>3.7400000000000003E-2</v>
      </c>
      <c r="G377" s="90"/>
    </row>
    <row r="378" spans="1:7" x14ac:dyDescent="0.35">
      <c r="A378" s="12"/>
      <c r="B378" s="30"/>
      <c r="C378" s="30"/>
      <c r="D378" s="13"/>
      <c r="E378" s="14"/>
      <c r="F378" s="15"/>
      <c r="G378" s="89"/>
    </row>
    <row r="379" spans="1:7" x14ac:dyDescent="0.35">
      <c r="A379" s="21" t="s">
        <v>129</v>
      </c>
      <c r="B379" s="32"/>
      <c r="C379" s="32"/>
      <c r="D379" s="22"/>
      <c r="E379" s="18">
        <v>20705.54</v>
      </c>
      <c r="F379" s="19">
        <v>3.7400000000000003E-2</v>
      </c>
      <c r="G379" s="90"/>
    </row>
    <row r="380" spans="1:7" x14ac:dyDescent="0.35">
      <c r="A380" s="12" t="s">
        <v>132</v>
      </c>
      <c r="B380" s="30"/>
      <c r="C380" s="30"/>
      <c r="D380" s="13"/>
      <c r="E380" s="14">
        <v>1877.1469571</v>
      </c>
      <c r="F380" s="15">
        <v>3.3909999999999999E-3</v>
      </c>
      <c r="G380" s="89"/>
    </row>
    <row r="381" spans="1:7" x14ac:dyDescent="0.35">
      <c r="A381" s="12" t="s">
        <v>133</v>
      </c>
      <c r="B381" s="30"/>
      <c r="C381" s="30"/>
      <c r="D381" s="13"/>
      <c r="E381" s="23">
        <v>-5721.1869570999997</v>
      </c>
      <c r="F381" s="24">
        <v>-1.0591E-2</v>
      </c>
      <c r="G381" s="89">
        <v>6.1074000000000003E-2</v>
      </c>
    </row>
    <row r="382" spans="1:7" x14ac:dyDescent="0.35">
      <c r="A382" s="25" t="s">
        <v>134</v>
      </c>
      <c r="B382" s="33"/>
      <c r="C382" s="33"/>
      <c r="D382" s="26"/>
      <c r="E382" s="27">
        <v>553479.81000000006</v>
      </c>
      <c r="F382" s="28">
        <v>1</v>
      </c>
      <c r="G382" s="28"/>
    </row>
    <row r="384" spans="1:7" x14ac:dyDescent="0.35">
      <c r="A384" s="1" t="s">
        <v>1400</v>
      </c>
    </row>
    <row r="385" spans="1:7" x14ac:dyDescent="0.35">
      <c r="A385" s="1" t="s">
        <v>136</v>
      </c>
    </row>
    <row r="387" spans="1:7" x14ac:dyDescent="0.35">
      <c r="A387" s="1" t="s">
        <v>1981</v>
      </c>
    </row>
    <row r="388" spans="1:7" x14ac:dyDescent="0.35">
      <c r="A388" s="47" t="s">
        <v>1982</v>
      </c>
      <c r="B388" s="34" t="s">
        <v>96</v>
      </c>
    </row>
    <row r="389" spans="1:7" x14ac:dyDescent="0.35">
      <c r="A389" t="s">
        <v>1983</v>
      </c>
    </row>
    <row r="390" spans="1:7" x14ac:dyDescent="0.35">
      <c r="A390" t="s">
        <v>1984</v>
      </c>
      <c r="B390" t="s">
        <v>1985</v>
      </c>
      <c r="C390" t="s">
        <v>1985</v>
      </c>
    </row>
    <row r="391" spans="1:7" x14ac:dyDescent="0.35">
      <c r="B391" s="48">
        <v>44834</v>
      </c>
      <c r="C391" s="48">
        <v>44865</v>
      </c>
    </row>
    <row r="392" spans="1:7" x14ac:dyDescent="0.35">
      <c r="A392" t="s">
        <v>1989</v>
      </c>
      <c r="B392">
        <v>16.865400000000001</v>
      </c>
      <c r="C392">
        <v>16.933800000000002</v>
      </c>
      <c r="E392" s="2"/>
      <c r="G392"/>
    </row>
    <row r="393" spans="1:7" x14ac:dyDescent="0.35">
      <c r="A393" t="s">
        <v>1990</v>
      </c>
      <c r="B393">
        <v>12.056699999999999</v>
      </c>
      <c r="C393">
        <v>12.105600000000001</v>
      </c>
      <c r="E393" s="2"/>
      <c r="G393"/>
    </row>
    <row r="394" spans="1:7" x14ac:dyDescent="0.35">
      <c r="A394" t="s">
        <v>2011</v>
      </c>
      <c r="B394">
        <v>13.854799999999999</v>
      </c>
      <c r="C394">
        <v>13.911099999999999</v>
      </c>
      <c r="E394" s="2"/>
      <c r="G394"/>
    </row>
    <row r="395" spans="1:7" x14ac:dyDescent="0.35">
      <c r="A395" t="s">
        <v>1998</v>
      </c>
      <c r="B395">
        <v>16.022099999999998</v>
      </c>
      <c r="C395">
        <v>16.077500000000001</v>
      </c>
      <c r="E395" s="2"/>
      <c r="G395"/>
    </row>
    <row r="396" spans="1:7" x14ac:dyDescent="0.35">
      <c r="A396" t="s">
        <v>2014</v>
      </c>
      <c r="B396">
        <v>16.0184</v>
      </c>
      <c r="C396">
        <v>16.073799999999999</v>
      </c>
      <c r="E396" s="2"/>
      <c r="G396"/>
    </row>
    <row r="397" spans="1:7" x14ac:dyDescent="0.35">
      <c r="A397" t="s">
        <v>2015</v>
      </c>
      <c r="B397">
        <v>11.7545</v>
      </c>
      <c r="C397">
        <v>11.795199999999999</v>
      </c>
      <c r="E397" s="2"/>
      <c r="G397"/>
    </row>
    <row r="398" spans="1:7" x14ac:dyDescent="0.35">
      <c r="A398" t="s">
        <v>2016</v>
      </c>
      <c r="B398">
        <v>13.0867</v>
      </c>
      <c r="C398">
        <v>13.132</v>
      </c>
      <c r="E398" s="2"/>
      <c r="G398"/>
    </row>
    <row r="399" spans="1:7" x14ac:dyDescent="0.35">
      <c r="E399" s="2"/>
      <c r="G399"/>
    </row>
    <row r="400" spans="1:7" x14ac:dyDescent="0.35">
      <c r="A400" t="s">
        <v>2000</v>
      </c>
      <c r="B400" s="34" t="s">
        <v>96</v>
      </c>
    </row>
    <row r="401" spans="1:4" x14ac:dyDescent="0.35">
      <c r="A401" t="s">
        <v>2001</v>
      </c>
      <c r="B401" s="34" t="s">
        <v>96</v>
      </c>
    </row>
    <row r="402" spans="1:4" ht="29" x14ac:dyDescent="0.35">
      <c r="A402" s="47" t="s">
        <v>2002</v>
      </c>
      <c r="B402" s="34" t="s">
        <v>96</v>
      </c>
    </row>
    <row r="403" spans="1:4" ht="29" x14ac:dyDescent="0.35">
      <c r="A403" s="47" t="s">
        <v>2003</v>
      </c>
      <c r="B403" s="34" t="s">
        <v>96</v>
      </c>
    </row>
    <row r="404" spans="1:4" x14ac:dyDescent="0.35">
      <c r="A404" t="s">
        <v>2033</v>
      </c>
      <c r="B404" s="49">
        <v>14.826858</v>
      </c>
    </row>
    <row r="405" spans="1:4" ht="43.5" x14ac:dyDescent="0.35">
      <c r="A405" s="47" t="s">
        <v>2005</v>
      </c>
      <c r="B405" s="34">
        <v>0</v>
      </c>
    </row>
    <row r="406" spans="1:4" ht="29" x14ac:dyDescent="0.35">
      <c r="A406" s="47" t="s">
        <v>2006</v>
      </c>
      <c r="B406" s="34" t="s">
        <v>96</v>
      </c>
    </row>
    <row r="407" spans="1:4" ht="29" x14ac:dyDescent="0.35">
      <c r="A407" s="47" t="s">
        <v>2009</v>
      </c>
      <c r="B407" s="34" t="s">
        <v>96</v>
      </c>
    </row>
    <row r="408" spans="1:4" ht="29" x14ac:dyDescent="0.35">
      <c r="A408" s="47" t="s">
        <v>2135</v>
      </c>
      <c r="B408" s="34" t="s">
        <v>96</v>
      </c>
    </row>
    <row r="409" spans="1:4" ht="29" x14ac:dyDescent="0.35">
      <c r="A409" s="47" t="s">
        <v>2136</v>
      </c>
      <c r="B409" s="34" t="s">
        <v>96</v>
      </c>
    </row>
    <row r="411" spans="1:4" ht="29" x14ac:dyDescent="0.35">
      <c r="A411" s="265" t="s">
        <v>2154</v>
      </c>
      <c r="B411" s="266" t="s">
        <v>2155</v>
      </c>
      <c r="C411" s="266" t="s">
        <v>2156</v>
      </c>
      <c r="D411" s="269" t="s">
        <v>2157</v>
      </c>
    </row>
    <row r="412" spans="1:4" ht="71" customHeight="1" x14ac:dyDescent="0.35">
      <c r="A412" s="268" t="s">
        <v>2191</v>
      </c>
      <c r="B412" s="267"/>
      <c r="C412" s="267" t="s">
        <v>2231</v>
      </c>
      <c r="D412" s="267"/>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363E-F9F5-4E6F-BC26-F44F6F42BDDF}">
  <dimension ref="A1:H218"/>
  <sheetViews>
    <sheetView showGridLines="0" workbookViewId="0">
      <pane ySplit="4" topLeftCell="A217" activePane="bottomLeft" state="frozen"/>
      <selection activeCell="A2" sqref="A2:XFD2"/>
      <selection pane="bottomLeft" activeCell="C218" sqref="C218"/>
    </sheetView>
  </sheetViews>
  <sheetFormatPr defaultRowHeight="14.5" x14ac:dyDescent="0.35"/>
  <cols>
    <col min="1" max="1" width="50.453125" customWidth="1"/>
    <col min="2" max="2" width="23.81640625" customWidth="1"/>
    <col min="3" max="3" width="26.6328125" customWidth="1"/>
    <col min="4" max="4" width="21.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47</v>
      </c>
      <c r="B1" s="151"/>
      <c r="C1" s="151"/>
      <c r="D1" s="151"/>
      <c r="E1" s="151"/>
      <c r="F1" s="151"/>
      <c r="G1" s="151"/>
      <c r="H1" s="50" t="str">
        <f>HYPERLINK("[EDEL_Portfolio Monthly Notes 31-Oct-2022.xlsx]Index!A1","Index")</f>
        <v>Index</v>
      </c>
    </row>
    <row r="2" spans="1:8" ht="31" customHeight="1" x14ac:dyDescent="0.35">
      <c r="A2" s="151" t="s">
        <v>48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6038335</v>
      </c>
      <c r="E8" s="14">
        <v>54870.35</v>
      </c>
      <c r="F8" s="15">
        <v>6.1499999999999999E-2</v>
      </c>
      <c r="G8" s="15"/>
    </row>
    <row r="9" spans="1:8" x14ac:dyDescent="0.35">
      <c r="A9" s="12" t="s">
        <v>863</v>
      </c>
      <c r="B9" s="30" t="s">
        <v>864</v>
      </c>
      <c r="C9" s="30" t="s">
        <v>865</v>
      </c>
      <c r="D9" s="13">
        <v>1967063</v>
      </c>
      <c r="E9" s="14">
        <v>50152.24</v>
      </c>
      <c r="F9" s="15">
        <v>5.62E-2</v>
      </c>
      <c r="G9" s="15"/>
    </row>
    <row r="10" spans="1:8" x14ac:dyDescent="0.35">
      <c r="A10" s="12" t="s">
        <v>894</v>
      </c>
      <c r="B10" s="30" t="s">
        <v>895</v>
      </c>
      <c r="C10" s="30" t="s">
        <v>862</v>
      </c>
      <c r="D10" s="13">
        <v>3152694</v>
      </c>
      <c r="E10" s="14">
        <v>47186.37</v>
      </c>
      <c r="F10" s="15">
        <v>5.2900000000000003E-2</v>
      </c>
      <c r="G10" s="15"/>
    </row>
    <row r="11" spans="1:8" x14ac:dyDescent="0.35">
      <c r="A11" s="12" t="s">
        <v>916</v>
      </c>
      <c r="B11" s="30" t="s">
        <v>917</v>
      </c>
      <c r="C11" s="30" t="s">
        <v>862</v>
      </c>
      <c r="D11" s="13">
        <v>3576609</v>
      </c>
      <c r="E11" s="14">
        <v>32404.080000000002</v>
      </c>
      <c r="F11" s="15">
        <v>3.6299999999999999E-2</v>
      </c>
      <c r="G11" s="15"/>
    </row>
    <row r="12" spans="1:8" x14ac:dyDescent="0.35">
      <c r="A12" s="12" t="s">
        <v>975</v>
      </c>
      <c r="B12" s="30" t="s">
        <v>976</v>
      </c>
      <c r="C12" s="30" t="s">
        <v>911</v>
      </c>
      <c r="D12" s="13">
        <v>1812649</v>
      </c>
      <c r="E12" s="14">
        <v>27872.2</v>
      </c>
      <c r="F12" s="15">
        <v>3.1199999999999999E-2</v>
      </c>
      <c r="G12" s="15"/>
    </row>
    <row r="13" spans="1:8" x14ac:dyDescent="0.35">
      <c r="A13" s="12" t="s">
        <v>948</v>
      </c>
      <c r="B13" s="30" t="s">
        <v>949</v>
      </c>
      <c r="C13" s="30" t="s">
        <v>950</v>
      </c>
      <c r="D13" s="13">
        <v>6785246</v>
      </c>
      <c r="E13" s="14">
        <v>23660.15</v>
      </c>
      <c r="F13" s="15">
        <v>2.6499999999999999E-2</v>
      </c>
      <c r="G13" s="15"/>
    </row>
    <row r="14" spans="1:8" x14ac:dyDescent="0.35">
      <c r="A14" s="12" t="s">
        <v>961</v>
      </c>
      <c r="B14" s="30" t="s">
        <v>962</v>
      </c>
      <c r="C14" s="30" t="s">
        <v>862</v>
      </c>
      <c r="D14" s="13">
        <v>3978748</v>
      </c>
      <c r="E14" s="14">
        <v>22830.06</v>
      </c>
      <c r="F14" s="15">
        <v>2.5600000000000001E-2</v>
      </c>
      <c r="G14" s="15"/>
    </row>
    <row r="15" spans="1:8" x14ac:dyDescent="0.35">
      <c r="A15" s="12" t="s">
        <v>1124</v>
      </c>
      <c r="B15" s="30" t="s">
        <v>1125</v>
      </c>
      <c r="C15" s="30" t="s">
        <v>898</v>
      </c>
      <c r="D15" s="13">
        <v>1089569</v>
      </c>
      <c r="E15" s="14">
        <v>14693.93</v>
      </c>
      <c r="F15" s="15">
        <v>1.6500000000000001E-2</v>
      </c>
      <c r="G15" s="15"/>
    </row>
    <row r="16" spans="1:8" x14ac:dyDescent="0.35">
      <c r="A16" s="12" t="s">
        <v>883</v>
      </c>
      <c r="B16" s="30" t="s">
        <v>884</v>
      </c>
      <c r="C16" s="30" t="s">
        <v>885</v>
      </c>
      <c r="D16" s="13">
        <v>571598</v>
      </c>
      <c r="E16" s="14">
        <v>14117.33</v>
      </c>
      <c r="F16" s="15">
        <v>1.5800000000000002E-2</v>
      </c>
      <c r="G16" s="15"/>
    </row>
    <row r="17" spans="1:7" x14ac:dyDescent="0.35">
      <c r="A17" s="12" t="s">
        <v>1020</v>
      </c>
      <c r="B17" s="30" t="s">
        <v>1021</v>
      </c>
      <c r="C17" s="30" t="s">
        <v>1022</v>
      </c>
      <c r="D17" s="13">
        <v>686639</v>
      </c>
      <c r="E17" s="14">
        <v>13891.39</v>
      </c>
      <c r="F17" s="15">
        <v>1.5599999999999999E-2</v>
      </c>
      <c r="G17" s="15"/>
    </row>
    <row r="18" spans="1:7" x14ac:dyDescent="0.35">
      <c r="A18" s="12" t="s">
        <v>959</v>
      </c>
      <c r="B18" s="30" t="s">
        <v>960</v>
      </c>
      <c r="C18" s="30" t="s">
        <v>885</v>
      </c>
      <c r="D18" s="13">
        <v>181807</v>
      </c>
      <c r="E18" s="14">
        <v>12988.47</v>
      </c>
      <c r="F18" s="15">
        <v>1.4500000000000001E-2</v>
      </c>
      <c r="G18" s="15"/>
    </row>
    <row r="19" spans="1:7" x14ac:dyDescent="0.35">
      <c r="A19" s="12" t="s">
        <v>1143</v>
      </c>
      <c r="B19" s="30" t="s">
        <v>1144</v>
      </c>
      <c r="C19" s="30" t="s">
        <v>950</v>
      </c>
      <c r="D19" s="13">
        <v>477457</v>
      </c>
      <c r="E19" s="14">
        <v>12178.5</v>
      </c>
      <c r="F19" s="15">
        <v>1.3599999999999999E-2</v>
      </c>
      <c r="G19" s="15"/>
    </row>
    <row r="20" spans="1:7" x14ac:dyDescent="0.35">
      <c r="A20" s="12" t="s">
        <v>896</v>
      </c>
      <c r="B20" s="30" t="s">
        <v>897</v>
      </c>
      <c r="C20" s="30" t="s">
        <v>898</v>
      </c>
      <c r="D20" s="13">
        <v>126894</v>
      </c>
      <c r="E20" s="14">
        <v>12089.95</v>
      </c>
      <c r="F20" s="15">
        <v>1.35E-2</v>
      </c>
      <c r="G20" s="15"/>
    </row>
    <row r="21" spans="1:7" x14ac:dyDescent="0.35">
      <c r="A21" s="12" t="s">
        <v>1110</v>
      </c>
      <c r="B21" s="30" t="s">
        <v>1111</v>
      </c>
      <c r="C21" s="30" t="s">
        <v>898</v>
      </c>
      <c r="D21" s="13">
        <v>946891</v>
      </c>
      <c r="E21" s="14">
        <v>10851.84</v>
      </c>
      <c r="F21" s="15">
        <v>1.2200000000000001E-2</v>
      </c>
      <c r="G21" s="15"/>
    </row>
    <row r="22" spans="1:7" x14ac:dyDescent="0.35">
      <c r="A22" s="12" t="s">
        <v>1169</v>
      </c>
      <c r="B22" s="30" t="s">
        <v>1170</v>
      </c>
      <c r="C22" s="30" t="s">
        <v>901</v>
      </c>
      <c r="D22" s="13">
        <v>5971458</v>
      </c>
      <c r="E22" s="14">
        <v>10336.59</v>
      </c>
      <c r="F22" s="15">
        <v>1.1599999999999999E-2</v>
      </c>
      <c r="G22" s="15"/>
    </row>
    <row r="23" spans="1:7" x14ac:dyDescent="0.35">
      <c r="A23" s="12" t="s">
        <v>914</v>
      </c>
      <c r="B23" s="30" t="s">
        <v>915</v>
      </c>
      <c r="C23" s="30" t="s">
        <v>862</v>
      </c>
      <c r="D23" s="13">
        <v>865407</v>
      </c>
      <c r="E23" s="14">
        <v>9888.57</v>
      </c>
      <c r="F23" s="15">
        <v>1.11E-2</v>
      </c>
      <c r="G23" s="15"/>
    </row>
    <row r="24" spans="1:7" x14ac:dyDescent="0.35">
      <c r="A24" s="12" t="s">
        <v>923</v>
      </c>
      <c r="B24" s="30" t="s">
        <v>924</v>
      </c>
      <c r="C24" s="30" t="s">
        <v>877</v>
      </c>
      <c r="D24" s="13">
        <v>9036858</v>
      </c>
      <c r="E24" s="14">
        <v>9655.8799999999992</v>
      </c>
      <c r="F24" s="15">
        <v>1.0800000000000001E-2</v>
      </c>
      <c r="G24" s="15"/>
    </row>
    <row r="25" spans="1:7" x14ac:dyDescent="0.35">
      <c r="A25" s="12" t="s">
        <v>1026</v>
      </c>
      <c r="B25" s="30" t="s">
        <v>1027</v>
      </c>
      <c r="C25" s="30" t="s">
        <v>974</v>
      </c>
      <c r="D25" s="13">
        <v>2604400</v>
      </c>
      <c r="E25" s="14">
        <v>8693.49</v>
      </c>
      <c r="F25" s="15">
        <v>9.7000000000000003E-3</v>
      </c>
      <c r="G25" s="15"/>
    </row>
    <row r="26" spans="1:7" x14ac:dyDescent="0.35">
      <c r="A26" s="12" t="s">
        <v>1114</v>
      </c>
      <c r="B26" s="30" t="s">
        <v>1115</v>
      </c>
      <c r="C26" s="30" t="s">
        <v>943</v>
      </c>
      <c r="D26" s="13">
        <v>189627</v>
      </c>
      <c r="E26" s="14">
        <v>8407.49</v>
      </c>
      <c r="F26" s="15">
        <v>9.4000000000000004E-3</v>
      </c>
      <c r="G26" s="15"/>
    </row>
    <row r="27" spans="1:7" x14ac:dyDescent="0.35">
      <c r="A27" s="12" t="s">
        <v>1401</v>
      </c>
      <c r="B27" s="30" t="s">
        <v>1402</v>
      </c>
      <c r="C27" s="30" t="s">
        <v>885</v>
      </c>
      <c r="D27" s="13">
        <v>468550</v>
      </c>
      <c r="E27" s="14">
        <v>7906.78</v>
      </c>
      <c r="F27" s="15">
        <v>8.8999999999999999E-3</v>
      </c>
      <c r="G27" s="15"/>
    </row>
    <row r="28" spans="1:7" x14ac:dyDescent="0.35">
      <c r="A28" s="12" t="s">
        <v>872</v>
      </c>
      <c r="B28" s="30" t="s">
        <v>873</v>
      </c>
      <c r="C28" s="30" t="s">
        <v>874</v>
      </c>
      <c r="D28" s="13">
        <v>1851438</v>
      </c>
      <c r="E28" s="14">
        <v>7510.36</v>
      </c>
      <c r="F28" s="15">
        <v>8.3999999999999995E-3</v>
      </c>
      <c r="G28" s="15"/>
    </row>
    <row r="29" spans="1:7" x14ac:dyDescent="0.35">
      <c r="A29" s="12" t="s">
        <v>909</v>
      </c>
      <c r="B29" s="30" t="s">
        <v>910</v>
      </c>
      <c r="C29" s="30" t="s">
        <v>911</v>
      </c>
      <c r="D29" s="13">
        <v>654528</v>
      </c>
      <c r="E29" s="14">
        <v>6814.62</v>
      </c>
      <c r="F29" s="15">
        <v>7.6E-3</v>
      </c>
      <c r="G29" s="15"/>
    </row>
    <row r="30" spans="1:7" x14ac:dyDescent="0.35">
      <c r="A30" s="12" t="s">
        <v>860</v>
      </c>
      <c r="B30" s="30" t="s">
        <v>861</v>
      </c>
      <c r="C30" s="30" t="s">
        <v>862</v>
      </c>
      <c r="D30" s="13">
        <v>357731</v>
      </c>
      <c r="E30" s="14">
        <v>6803.86</v>
      </c>
      <c r="F30" s="15">
        <v>7.6E-3</v>
      </c>
      <c r="G30" s="15"/>
    </row>
    <row r="31" spans="1:7" x14ac:dyDescent="0.35">
      <c r="A31" s="12" t="s">
        <v>918</v>
      </c>
      <c r="B31" s="30" t="s">
        <v>919</v>
      </c>
      <c r="C31" s="30" t="s">
        <v>911</v>
      </c>
      <c r="D31" s="13">
        <v>211486</v>
      </c>
      <c r="E31" s="14">
        <v>6753.07</v>
      </c>
      <c r="F31" s="15">
        <v>7.6E-3</v>
      </c>
      <c r="G31" s="15"/>
    </row>
    <row r="32" spans="1:7" x14ac:dyDescent="0.35">
      <c r="A32" s="12" t="s">
        <v>912</v>
      </c>
      <c r="B32" s="30" t="s">
        <v>913</v>
      </c>
      <c r="C32" s="30" t="s">
        <v>911</v>
      </c>
      <c r="D32" s="13">
        <v>197588</v>
      </c>
      <c r="E32" s="14">
        <v>6725.4</v>
      </c>
      <c r="F32" s="15">
        <v>7.4999999999999997E-3</v>
      </c>
      <c r="G32" s="15"/>
    </row>
    <row r="33" spans="1:7" x14ac:dyDescent="0.35">
      <c r="A33" s="12" t="s">
        <v>1106</v>
      </c>
      <c r="B33" s="30" t="s">
        <v>1107</v>
      </c>
      <c r="C33" s="30" t="s">
        <v>983</v>
      </c>
      <c r="D33" s="13">
        <v>521001</v>
      </c>
      <c r="E33" s="14">
        <v>6595.61</v>
      </c>
      <c r="F33" s="15">
        <v>7.4000000000000003E-3</v>
      </c>
      <c r="G33" s="15"/>
    </row>
    <row r="34" spans="1:7" x14ac:dyDescent="0.35">
      <c r="A34" s="12" t="s">
        <v>1403</v>
      </c>
      <c r="B34" s="30" t="s">
        <v>1404</v>
      </c>
      <c r="C34" s="30" t="s">
        <v>995</v>
      </c>
      <c r="D34" s="13">
        <v>7064506</v>
      </c>
      <c r="E34" s="14">
        <v>6449.89</v>
      </c>
      <c r="F34" s="15">
        <v>7.1999999999999998E-3</v>
      </c>
      <c r="G34" s="15"/>
    </row>
    <row r="35" spans="1:7" x14ac:dyDescent="0.35">
      <c r="A35" s="12" t="s">
        <v>886</v>
      </c>
      <c r="B35" s="30" t="s">
        <v>887</v>
      </c>
      <c r="C35" s="30" t="s">
        <v>888</v>
      </c>
      <c r="D35" s="13">
        <v>794416</v>
      </c>
      <c r="E35" s="14">
        <v>5800.83</v>
      </c>
      <c r="F35" s="15">
        <v>6.4999999999999997E-3</v>
      </c>
      <c r="G35" s="15"/>
    </row>
    <row r="36" spans="1:7" x14ac:dyDescent="0.35">
      <c r="A36" s="12" t="s">
        <v>1042</v>
      </c>
      <c r="B36" s="30" t="s">
        <v>1043</v>
      </c>
      <c r="C36" s="30" t="s">
        <v>943</v>
      </c>
      <c r="D36" s="13">
        <v>559964</v>
      </c>
      <c r="E36" s="14">
        <v>5694.27</v>
      </c>
      <c r="F36" s="15">
        <v>6.4000000000000003E-3</v>
      </c>
      <c r="G36" s="15"/>
    </row>
    <row r="37" spans="1:7" x14ac:dyDescent="0.35">
      <c r="A37" s="12" t="s">
        <v>1171</v>
      </c>
      <c r="B37" s="30" t="s">
        <v>1172</v>
      </c>
      <c r="C37" s="30" t="s">
        <v>971</v>
      </c>
      <c r="D37" s="13">
        <v>5592220</v>
      </c>
      <c r="E37" s="14">
        <v>5678.9</v>
      </c>
      <c r="F37" s="15">
        <v>6.4000000000000003E-3</v>
      </c>
      <c r="G37" s="15"/>
    </row>
    <row r="38" spans="1:7" x14ac:dyDescent="0.35">
      <c r="A38" s="12" t="s">
        <v>1102</v>
      </c>
      <c r="B38" s="30" t="s">
        <v>1103</v>
      </c>
      <c r="C38" s="30" t="s">
        <v>911</v>
      </c>
      <c r="D38" s="13">
        <v>147972</v>
      </c>
      <c r="E38" s="14">
        <v>5464.68</v>
      </c>
      <c r="F38" s="15">
        <v>6.1000000000000004E-3</v>
      </c>
      <c r="G38" s="15"/>
    </row>
    <row r="39" spans="1:7" x14ac:dyDescent="0.35">
      <c r="A39" s="12" t="s">
        <v>920</v>
      </c>
      <c r="B39" s="30" t="s">
        <v>921</v>
      </c>
      <c r="C39" s="30" t="s">
        <v>922</v>
      </c>
      <c r="D39" s="13">
        <v>300000</v>
      </c>
      <c r="E39" s="14">
        <v>5345.1</v>
      </c>
      <c r="F39" s="15">
        <v>6.0000000000000001E-3</v>
      </c>
      <c r="G39" s="15"/>
    </row>
    <row r="40" spans="1:7" x14ac:dyDescent="0.35">
      <c r="A40" s="12" t="s">
        <v>906</v>
      </c>
      <c r="B40" s="30" t="s">
        <v>907</v>
      </c>
      <c r="C40" s="30" t="s">
        <v>908</v>
      </c>
      <c r="D40" s="13">
        <v>997200</v>
      </c>
      <c r="E40" s="14">
        <v>5314.58</v>
      </c>
      <c r="F40" s="15">
        <v>6.0000000000000001E-3</v>
      </c>
      <c r="G40" s="15"/>
    </row>
    <row r="41" spans="1:7" x14ac:dyDescent="0.35">
      <c r="A41" s="12" t="s">
        <v>1040</v>
      </c>
      <c r="B41" s="30" t="s">
        <v>1041</v>
      </c>
      <c r="C41" s="30" t="s">
        <v>908</v>
      </c>
      <c r="D41" s="13">
        <v>75801</v>
      </c>
      <c r="E41" s="14">
        <v>5090</v>
      </c>
      <c r="F41" s="15">
        <v>5.7000000000000002E-3</v>
      </c>
      <c r="G41" s="15"/>
    </row>
    <row r="42" spans="1:7" x14ac:dyDescent="0.35">
      <c r="A42" s="12" t="s">
        <v>1184</v>
      </c>
      <c r="B42" s="30" t="s">
        <v>1185</v>
      </c>
      <c r="C42" s="30" t="s">
        <v>1186</v>
      </c>
      <c r="D42" s="13">
        <v>3727120</v>
      </c>
      <c r="E42" s="14">
        <v>4996.2</v>
      </c>
      <c r="F42" s="15">
        <v>5.5999999999999999E-3</v>
      </c>
      <c r="G42" s="15"/>
    </row>
    <row r="43" spans="1:7" x14ac:dyDescent="0.35">
      <c r="A43" s="12" t="s">
        <v>1176</v>
      </c>
      <c r="B43" s="30" t="s">
        <v>1177</v>
      </c>
      <c r="C43" s="30" t="s">
        <v>865</v>
      </c>
      <c r="D43" s="13">
        <v>1615982</v>
      </c>
      <c r="E43" s="14">
        <v>4906.93</v>
      </c>
      <c r="F43" s="15">
        <v>5.4999999999999997E-3</v>
      </c>
      <c r="G43" s="15"/>
    </row>
    <row r="44" spans="1:7" x14ac:dyDescent="0.35">
      <c r="A44" s="12" t="s">
        <v>1405</v>
      </c>
      <c r="B44" s="30" t="s">
        <v>1406</v>
      </c>
      <c r="C44" s="30" t="s">
        <v>937</v>
      </c>
      <c r="D44" s="13">
        <v>188486</v>
      </c>
      <c r="E44" s="14">
        <v>4804.79</v>
      </c>
      <c r="F44" s="15">
        <v>5.4000000000000003E-3</v>
      </c>
      <c r="G44" s="15"/>
    </row>
    <row r="45" spans="1:7" x14ac:dyDescent="0.35">
      <c r="A45" s="12" t="s">
        <v>1122</v>
      </c>
      <c r="B45" s="30" t="s">
        <v>1123</v>
      </c>
      <c r="C45" s="30" t="s">
        <v>911</v>
      </c>
      <c r="D45" s="13">
        <v>236000</v>
      </c>
      <c r="E45" s="14">
        <v>4669.26</v>
      </c>
      <c r="F45" s="15">
        <v>5.1999999999999998E-3</v>
      </c>
      <c r="G45" s="15"/>
    </row>
    <row r="46" spans="1:7" x14ac:dyDescent="0.35">
      <c r="A46" s="12" t="s">
        <v>1407</v>
      </c>
      <c r="B46" s="30" t="s">
        <v>1408</v>
      </c>
      <c r="C46" s="30" t="s">
        <v>953</v>
      </c>
      <c r="D46" s="13">
        <v>162964</v>
      </c>
      <c r="E46" s="14">
        <v>4489.01</v>
      </c>
      <c r="F46" s="15">
        <v>5.0000000000000001E-3</v>
      </c>
      <c r="G46" s="15"/>
    </row>
    <row r="47" spans="1:7" x14ac:dyDescent="0.35">
      <c r="A47" s="12" t="s">
        <v>902</v>
      </c>
      <c r="B47" s="30" t="s">
        <v>903</v>
      </c>
      <c r="C47" s="30" t="s">
        <v>862</v>
      </c>
      <c r="D47" s="13">
        <v>2968268</v>
      </c>
      <c r="E47" s="14">
        <v>4384.13</v>
      </c>
      <c r="F47" s="15">
        <v>4.8999999999999998E-3</v>
      </c>
      <c r="G47" s="15"/>
    </row>
    <row r="48" spans="1:7" x14ac:dyDescent="0.35">
      <c r="A48" s="12" t="s">
        <v>1129</v>
      </c>
      <c r="B48" s="30" t="s">
        <v>1130</v>
      </c>
      <c r="C48" s="30" t="s">
        <v>995</v>
      </c>
      <c r="D48" s="13">
        <v>2131469</v>
      </c>
      <c r="E48" s="14">
        <v>4381.2299999999996</v>
      </c>
      <c r="F48" s="15">
        <v>4.8999999999999998E-3</v>
      </c>
      <c r="G48" s="15"/>
    </row>
    <row r="49" spans="1:7" x14ac:dyDescent="0.35">
      <c r="A49" s="12" t="s">
        <v>1409</v>
      </c>
      <c r="B49" s="30" t="s">
        <v>1410</v>
      </c>
      <c r="C49" s="30" t="s">
        <v>885</v>
      </c>
      <c r="D49" s="13">
        <v>521530</v>
      </c>
      <c r="E49" s="14">
        <v>4311.2299999999996</v>
      </c>
      <c r="F49" s="15">
        <v>4.7999999999999996E-3</v>
      </c>
      <c r="G49" s="15"/>
    </row>
    <row r="50" spans="1:7" x14ac:dyDescent="0.35">
      <c r="A50" s="12" t="s">
        <v>1411</v>
      </c>
      <c r="B50" s="30" t="s">
        <v>1412</v>
      </c>
      <c r="C50" s="30" t="s">
        <v>953</v>
      </c>
      <c r="D50" s="13">
        <v>800787</v>
      </c>
      <c r="E50" s="14">
        <v>4297.82</v>
      </c>
      <c r="F50" s="15">
        <v>4.7999999999999996E-3</v>
      </c>
      <c r="G50" s="15"/>
    </row>
    <row r="51" spans="1:7" x14ac:dyDescent="0.35">
      <c r="A51" s="12" t="s">
        <v>1011</v>
      </c>
      <c r="B51" s="30" t="s">
        <v>1012</v>
      </c>
      <c r="C51" s="30" t="s">
        <v>888</v>
      </c>
      <c r="D51" s="13">
        <v>439383</v>
      </c>
      <c r="E51" s="14">
        <v>4228.3999999999996</v>
      </c>
      <c r="F51" s="15">
        <v>4.7000000000000002E-3</v>
      </c>
      <c r="G51" s="15"/>
    </row>
    <row r="52" spans="1:7" x14ac:dyDescent="0.35">
      <c r="A52" s="12" t="s">
        <v>1413</v>
      </c>
      <c r="B52" s="30" t="s">
        <v>1414</v>
      </c>
      <c r="C52" s="30" t="s">
        <v>1010</v>
      </c>
      <c r="D52" s="13">
        <v>500000</v>
      </c>
      <c r="E52" s="14">
        <v>4146.5</v>
      </c>
      <c r="F52" s="15">
        <v>4.5999999999999999E-3</v>
      </c>
      <c r="G52" s="15"/>
    </row>
    <row r="53" spans="1:7" x14ac:dyDescent="0.35">
      <c r="A53" s="12" t="s">
        <v>925</v>
      </c>
      <c r="B53" s="30" t="s">
        <v>926</v>
      </c>
      <c r="C53" s="30" t="s">
        <v>911</v>
      </c>
      <c r="D53" s="13">
        <v>389865</v>
      </c>
      <c r="E53" s="14">
        <v>4145.82</v>
      </c>
      <c r="F53" s="15">
        <v>4.5999999999999999E-3</v>
      </c>
      <c r="G53" s="15"/>
    </row>
    <row r="54" spans="1:7" x14ac:dyDescent="0.35">
      <c r="A54" s="12" t="s">
        <v>1182</v>
      </c>
      <c r="B54" s="30" t="s">
        <v>1183</v>
      </c>
      <c r="C54" s="30" t="s">
        <v>943</v>
      </c>
      <c r="D54" s="13">
        <v>21458</v>
      </c>
      <c r="E54" s="14">
        <v>4130.01</v>
      </c>
      <c r="F54" s="15">
        <v>4.5999999999999999E-3</v>
      </c>
      <c r="G54" s="15"/>
    </row>
    <row r="55" spans="1:7" x14ac:dyDescent="0.35">
      <c r="A55" s="12" t="s">
        <v>1126</v>
      </c>
      <c r="B55" s="30" t="s">
        <v>1127</v>
      </c>
      <c r="C55" s="30" t="s">
        <v>1128</v>
      </c>
      <c r="D55" s="13">
        <v>1659735</v>
      </c>
      <c r="E55" s="14">
        <v>4082.12</v>
      </c>
      <c r="F55" s="15">
        <v>4.5999999999999999E-3</v>
      </c>
      <c r="G55" s="15"/>
    </row>
    <row r="56" spans="1:7" x14ac:dyDescent="0.35">
      <c r="A56" s="12" t="s">
        <v>1030</v>
      </c>
      <c r="B56" s="30" t="s">
        <v>1031</v>
      </c>
      <c r="C56" s="30" t="s">
        <v>983</v>
      </c>
      <c r="D56" s="13">
        <v>752120</v>
      </c>
      <c r="E56" s="14">
        <v>4064.83</v>
      </c>
      <c r="F56" s="15">
        <v>4.5999999999999999E-3</v>
      </c>
      <c r="G56" s="15"/>
    </row>
    <row r="57" spans="1:7" x14ac:dyDescent="0.35">
      <c r="A57" s="12" t="s">
        <v>1415</v>
      </c>
      <c r="B57" s="30" t="s">
        <v>1416</v>
      </c>
      <c r="C57" s="30" t="s">
        <v>958</v>
      </c>
      <c r="D57" s="13">
        <v>1488279</v>
      </c>
      <c r="E57" s="14">
        <v>4000.49</v>
      </c>
      <c r="F57" s="15">
        <v>4.4999999999999997E-3</v>
      </c>
      <c r="G57" s="15"/>
    </row>
    <row r="58" spans="1:7" x14ac:dyDescent="0.35">
      <c r="A58" s="12" t="s">
        <v>1417</v>
      </c>
      <c r="B58" s="30" t="s">
        <v>1418</v>
      </c>
      <c r="C58" s="30" t="s">
        <v>1048</v>
      </c>
      <c r="D58" s="13">
        <v>92000</v>
      </c>
      <c r="E58" s="14">
        <v>3975.23</v>
      </c>
      <c r="F58" s="15">
        <v>4.4999999999999997E-3</v>
      </c>
      <c r="G58" s="15"/>
    </row>
    <row r="59" spans="1:7" x14ac:dyDescent="0.35">
      <c r="A59" s="12" t="s">
        <v>1419</v>
      </c>
      <c r="B59" s="30" t="s">
        <v>1420</v>
      </c>
      <c r="C59" s="30" t="s">
        <v>885</v>
      </c>
      <c r="D59" s="13">
        <v>400000</v>
      </c>
      <c r="E59" s="14">
        <v>3900.8</v>
      </c>
      <c r="F59" s="15">
        <v>4.4000000000000003E-3</v>
      </c>
      <c r="G59" s="15"/>
    </row>
    <row r="60" spans="1:7" x14ac:dyDescent="0.35">
      <c r="A60" s="12" t="s">
        <v>1421</v>
      </c>
      <c r="B60" s="30" t="s">
        <v>1422</v>
      </c>
      <c r="C60" s="30" t="s">
        <v>1015</v>
      </c>
      <c r="D60" s="13">
        <v>770000</v>
      </c>
      <c r="E60" s="14">
        <v>3846.54</v>
      </c>
      <c r="F60" s="15">
        <v>4.3E-3</v>
      </c>
      <c r="G60" s="15"/>
    </row>
    <row r="61" spans="1:7" x14ac:dyDescent="0.35">
      <c r="A61" s="12" t="s">
        <v>1423</v>
      </c>
      <c r="B61" s="30" t="s">
        <v>1424</v>
      </c>
      <c r="C61" s="30" t="s">
        <v>958</v>
      </c>
      <c r="D61" s="13">
        <v>350000</v>
      </c>
      <c r="E61" s="14">
        <v>3784.38</v>
      </c>
      <c r="F61" s="15">
        <v>4.1999999999999997E-3</v>
      </c>
      <c r="G61" s="15"/>
    </row>
    <row r="62" spans="1:7" x14ac:dyDescent="0.35">
      <c r="A62" s="12" t="s">
        <v>1425</v>
      </c>
      <c r="B62" s="30" t="s">
        <v>1426</v>
      </c>
      <c r="C62" s="30" t="s">
        <v>974</v>
      </c>
      <c r="D62" s="13">
        <v>489033</v>
      </c>
      <c r="E62" s="14">
        <v>3656.99</v>
      </c>
      <c r="F62" s="15">
        <v>4.1000000000000003E-3</v>
      </c>
      <c r="G62" s="15"/>
    </row>
    <row r="63" spans="1:7" x14ac:dyDescent="0.35">
      <c r="A63" s="12" t="s">
        <v>891</v>
      </c>
      <c r="B63" s="30" t="s">
        <v>892</v>
      </c>
      <c r="C63" s="30" t="s">
        <v>893</v>
      </c>
      <c r="D63" s="13">
        <v>394794</v>
      </c>
      <c r="E63" s="14">
        <v>3538.74</v>
      </c>
      <c r="F63" s="15">
        <v>4.0000000000000001E-3</v>
      </c>
      <c r="G63" s="15"/>
    </row>
    <row r="64" spans="1:7" x14ac:dyDescent="0.35">
      <c r="A64" s="12" t="s">
        <v>1427</v>
      </c>
      <c r="B64" s="30" t="s">
        <v>1428</v>
      </c>
      <c r="C64" s="30" t="s">
        <v>1048</v>
      </c>
      <c r="D64" s="13">
        <v>116402</v>
      </c>
      <c r="E64" s="14">
        <v>3503.93</v>
      </c>
      <c r="F64" s="15">
        <v>3.8999999999999998E-3</v>
      </c>
      <c r="G64" s="15"/>
    </row>
    <row r="65" spans="1:7" x14ac:dyDescent="0.35">
      <c r="A65" s="12" t="s">
        <v>1429</v>
      </c>
      <c r="B65" s="30" t="s">
        <v>1430</v>
      </c>
      <c r="C65" s="30" t="s">
        <v>1431</v>
      </c>
      <c r="D65" s="13">
        <v>3488931</v>
      </c>
      <c r="E65" s="14">
        <v>3480.21</v>
      </c>
      <c r="F65" s="15">
        <v>3.8999999999999998E-3</v>
      </c>
      <c r="G65" s="15"/>
    </row>
    <row r="66" spans="1:7" x14ac:dyDescent="0.35">
      <c r="A66" s="12" t="s">
        <v>1432</v>
      </c>
      <c r="B66" s="30" t="s">
        <v>1433</v>
      </c>
      <c r="C66" s="30" t="s">
        <v>911</v>
      </c>
      <c r="D66" s="13">
        <v>49499</v>
      </c>
      <c r="E66" s="14">
        <v>3462.88</v>
      </c>
      <c r="F66" s="15">
        <v>3.8999999999999998E-3</v>
      </c>
      <c r="G66" s="15"/>
    </row>
    <row r="67" spans="1:7" x14ac:dyDescent="0.35">
      <c r="A67" s="12" t="s">
        <v>1197</v>
      </c>
      <c r="B67" s="30" t="s">
        <v>1198</v>
      </c>
      <c r="C67" s="30" t="s">
        <v>1199</v>
      </c>
      <c r="D67" s="13">
        <v>6884</v>
      </c>
      <c r="E67" s="14">
        <v>3426.07</v>
      </c>
      <c r="F67" s="15">
        <v>3.8E-3</v>
      </c>
      <c r="G67" s="15"/>
    </row>
    <row r="68" spans="1:7" x14ac:dyDescent="0.35">
      <c r="A68" s="12" t="s">
        <v>1434</v>
      </c>
      <c r="B68" s="30" t="s">
        <v>1435</v>
      </c>
      <c r="C68" s="30" t="s">
        <v>931</v>
      </c>
      <c r="D68" s="13">
        <v>86073</v>
      </c>
      <c r="E68" s="14">
        <v>3262.98</v>
      </c>
      <c r="F68" s="15">
        <v>3.7000000000000002E-3</v>
      </c>
      <c r="G68" s="15"/>
    </row>
    <row r="69" spans="1:7" x14ac:dyDescent="0.35">
      <c r="A69" s="12" t="s">
        <v>1436</v>
      </c>
      <c r="B69" s="30" t="s">
        <v>1437</v>
      </c>
      <c r="C69" s="30" t="s">
        <v>940</v>
      </c>
      <c r="D69" s="13">
        <v>106114</v>
      </c>
      <c r="E69" s="14">
        <v>3184</v>
      </c>
      <c r="F69" s="15">
        <v>3.5999999999999999E-3</v>
      </c>
      <c r="G69" s="15"/>
    </row>
    <row r="70" spans="1:7" x14ac:dyDescent="0.35">
      <c r="A70" s="12" t="s">
        <v>1438</v>
      </c>
      <c r="B70" s="30" t="s">
        <v>1439</v>
      </c>
      <c r="C70" s="30" t="s">
        <v>1015</v>
      </c>
      <c r="D70" s="13">
        <v>987600</v>
      </c>
      <c r="E70" s="14">
        <v>3122.99</v>
      </c>
      <c r="F70" s="15">
        <v>3.5000000000000001E-3</v>
      </c>
      <c r="G70" s="15"/>
    </row>
    <row r="71" spans="1:7" x14ac:dyDescent="0.35">
      <c r="A71" s="12" t="s">
        <v>1440</v>
      </c>
      <c r="B71" s="30" t="s">
        <v>1441</v>
      </c>
      <c r="C71" s="30" t="s">
        <v>988</v>
      </c>
      <c r="D71" s="13">
        <v>691493</v>
      </c>
      <c r="E71" s="14">
        <v>3041.88</v>
      </c>
      <c r="F71" s="15">
        <v>3.3999999999999998E-3</v>
      </c>
      <c r="G71" s="15"/>
    </row>
    <row r="72" spans="1:7" x14ac:dyDescent="0.35">
      <c r="A72" s="12" t="s">
        <v>1442</v>
      </c>
      <c r="B72" s="30" t="s">
        <v>1443</v>
      </c>
      <c r="C72" s="30" t="s">
        <v>885</v>
      </c>
      <c r="D72" s="13">
        <v>101165</v>
      </c>
      <c r="E72" s="14">
        <v>3032.72</v>
      </c>
      <c r="F72" s="15">
        <v>3.3999999999999998E-3</v>
      </c>
      <c r="G72" s="15"/>
    </row>
    <row r="73" spans="1:7" x14ac:dyDescent="0.35">
      <c r="A73" s="12" t="s">
        <v>1116</v>
      </c>
      <c r="B73" s="30" t="s">
        <v>1117</v>
      </c>
      <c r="C73" s="30" t="s">
        <v>958</v>
      </c>
      <c r="D73" s="13">
        <v>95000</v>
      </c>
      <c r="E73" s="14">
        <v>2952.32</v>
      </c>
      <c r="F73" s="15">
        <v>3.3E-3</v>
      </c>
      <c r="G73" s="15"/>
    </row>
    <row r="74" spans="1:7" x14ac:dyDescent="0.35">
      <c r="A74" s="12" t="s">
        <v>1444</v>
      </c>
      <c r="B74" s="30" t="s">
        <v>1445</v>
      </c>
      <c r="C74" s="30" t="s">
        <v>874</v>
      </c>
      <c r="D74" s="13">
        <v>1023637</v>
      </c>
      <c r="E74" s="14">
        <v>2904.06</v>
      </c>
      <c r="F74" s="15">
        <v>3.3E-3</v>
      </c>
      <c r="G74" s="15"/>
    </row>
    <row r="75" spans="1:7" x14ac:dyDescent="0.35">
      <c r="A75" s="12" t="s">
        <v>965</v>
      </c>
      <c r="B75" s="30" t="s">
        <v>966</v>
      </c>
      <c r="C75" s="30" t="s">
        <v>901</v>
      </c>
      <c r="D75" s="13">
        <v>560652</v>
      </c>
      <c r="E75" s="14">
        <v>2827.65</v>
      </c>
      <c r="F75" s="15">
        <v>3.2000000000000002E-3</v>
      </c>
      <c r="G75" s="15"/>
    </row>
    <row r="76" spans="1:7" x14ac:dyDescent="0.35">
      <c r="A76" s="12" t="s">
        <v>1167</v>
      </c>
      <c r="B76" s="30" t="s">
        <v>1168</v>
      </c>
      <c r="C76" s="30" t="s">
        <v>974</v>
      </c>
      <c r="D76" s="13">
        <v>460955</v>
      </c>
      <c r="E76" s="14">
        <v>2811.6</v>
      </c>
      <c r="F76" s="15">
        <v>3.0999999999999999E-3</v>
      </c>
      <c r="G76" s="15"/>
    </row>
    <row r="77" spans="1:7" x14ac:dyDescent="0.35">
      <c r="A77" s="12" t="s">
        <v>1446</v>
      </c>
      <c r="B77" s="30" t="s">
        <v>1447</v>
      </c>
      <c r="C77" s="30" t="s">
        <v>908</v>
      </c>
      <c r="D77" s="13">
        <v>96445</v>
      </c>
      <c r="E77" s="14">
        <v>2616.2199999999998</v>
      </c>
      <c r="F77" s="15">
        <v>2.8999999999999998E-3</v>
      </c>
      <c r="G77" s="15"/>
    </row>
    <row r="78" spans="1:7" x14ac:dyDescent="0.35">
      <c r="A78" s="12" t="s">
        <v>944</v>
      </c>
      <c r="B78" s="30" t="s">
        <v>945</v>
      </c>
      <c r="C78" s="30" t="s">
        <v>882</v>
      </c>
      <c r="D78" s="13">
        <v>493500</v>
      </c>
      <c r="E78" s="14">
        <v>2580.2600000000002</v>
      </c>
      <c r="F78" s="15">
        <v>2.8999999999999998E-3</v>
      </c>
      <c r="G78" s="15"/>
    </row>
    <row r="79" spans="1:7" x14ac:dyDescent="0.35">
      <c r="A79" s="12" t="s">
        <v>875</v>
      </c>
      <c r="B79" s="30" t="s">
        <v>876</v>
      </c>
      <c r="C79" s="30" t="s">
        <v>877</v>
      </c>
      <c r="D79" s="13">
        <v>97850</v>
      </c>
      <c r="E79" s="14">
        <v>2475.65</v>
      </c>
      <c r="F79" s="15">
        <v>2.8E-3</v>
      </c>
      <c r="G79" s="15"/>
    </row>
    <row r="80" spans="1:7" x14ac:dyDescent="0.35">
      <c r="A80" s="12" t="s">
        <v>1065</v>
      </c>
      <c r="B80" s="30" t="s">
        <v>1066</v>
      </c>
      <c r="C80" s="30" t="s">
        <v>983</v>
      </c>
      <c r="D80" s="13">
        <v>410897</v>
      </c>
      <c r="E80" s="14">
        <v>2085.5100000000002</v>
      </c>
      <c r="F80" s="15">
        <v>2.3E-3</v>
      </c>
      <c r="G80" s="15"/>
    </row>
    <row r="81" spans="1:7" x14ac:dyDescent="0.35">
      <c r="A81" s="12" t="s">
        <v>1200</v>
      </c>
      <c r="B81" s="30" t="s">
        <v>1201</v>
      </c>
      <c r="C81" s="30" t="s">
        <v>893</v>
      </c>
      <c r="D81" s="13">
        <v>124460</v>
      </c>
      <c r="E81" s="14">
        <v>2057.14</v>
      </c>
      <c r="F81" s="15">
        <v>2.3E-3</v>
      </c>
      <c r="G81" s="15"/>
    </row>
    <row r="82" spans="1:7" x14ac:dyDescent="0.35">
      <c r="A82" s="12" t="s">
        <v>880</v>
      </c>
      <c r="B82" s="30" t="s">
        <v>881</v>
      </c>
      <c r="C82" s="30" t="s">
        <v>882</v>
      </c>
      <c r="D82" s="13">
        <v>758438</v>
      </c>
      <c r="E82" s="14">
        <v>1990.52</v>
      </c>
      <c r="F82" s="15">
        <v>2.2000000000000001E-3</v>
      </c>
      <c r="G82" s="15"/>
    </row>
    <row r="83" spans="1:7" x14ac:dyDescent="0.35">
      <c r="A83" s="12" t="s">
        <v>1448</v>
      </c>
      <c r="B83" s="30" t="s">
        <v>1449</v>
      </c>
      <c r="C83" s="30" t="s">
        <v>1022</v>
      </c>
      <c r="D83" s="13">
        <v>863588</v>
      </c>
      <c r="E83" s="14">
        <v>1922.35</v>
      </c>
      <c r="F83" s="15">
        <v>2.2000000000000001E-3</v>
      </c>
      <c r="G83" s="15"/>
    </row>
    <row r="84" spans="1:7" x14ac:dyDescent="0.35">
      <c r="A84" s="12" t="s">
        <v>1450</v>
      </c>
      <c r="B84" s="30" t="s">
        <v>1451</v>
      </c>
      <c r="C84" s="30" t="s">
        <v>943</v>
      </c>
      <c r="D84" s="13">
        <v>99748</v>
      </c>
      <c r="E84" s="14">
        <v>1779.85</v>
      </c>
      <c r="F84" s="15">
        <v>2E-3</v>
      </c>
      <c r="G84" s="15"/>
    </row>
    <row r="85" spans="1:7" x14ac:dyDescent="0.35">
      <c r="A85" s="12" t="s">
        <v>1452</v>
      </c>
      <c r="B85" s="30" t="s">
        <v>1453</v>
      </c>
      <c r="C85" s="30" t="s">
        <v>888</v>
      </c>
      <c r="D85" s="13">
        <v>99739</v>
      </c>
      <c r="E85" s="14">
        <v>491.31</v>
      </c>
      <c r="F85" s="15">
        <v>5.9999999999999995E-4</v>
      </c>
      <c r="G85" s="15"/>
    </row>
    <row r="86" spans="1:7" x14ac:dyDescent="0.35">
      <c r="A86" s="12" t="s">
        <v>1454</v>
      </c>
      <c r="B86" s="30" t="s">
        <v>1455</v>
      </c>
      <c r="C86" s="30" t="s">
        <v>885</v>
      </c>
      <c r="D86" s="13">
        <v>108600</v>
      </c>
      <c r="E86" s="14">
        <v>413.77</v>
      </c>
      <c r="F86" s="15">
        <v>5.0000000000000001E-4</v>
      </c>
      <c r="G86" s="15"/>
    </row>
    <row r="87" spans="1:7" x14ac:dyDescent="0.35">
      <c r="A87" s="12" t="s">
        <v>991</v>
      </c>
      <c r="B87" s="30" t="s">
        <v>992</v>
      </c>
      <c r="C87" s="30" t="s">
        <v>958</v>
      </c>
      <c r="D87" s="13">
        <v>31786</v>
      </c>
      <c r="E87" s="14">
        <v>278.51</v>
      </c>
      <c r="F87" s="15">
        <v>2.9999999999999997E-4</v>
      </c>
      <c r="G87" s="15"/>
    </row>
    <row r="88" spans="1:7" x14ac:dyDescent="0.35">
      <c r="A88" s="12" t="s">
        <v>1440</v>
      </c>
      <c r="B88" s="30" t="s">
        <v>1456</v>
      </c>
      <c r="C88" s="30" t="s">
        <v>988</v>
      </c>
      <c r="D88" s="13">
        <v>31543</v>
      </c>
      <c r="E88" s="14">
        <v>262.44</v>
      </c>
      <c r="F88" s="15">
        <v>2.9999999999999997E-4</v>
      </c>
      <c r="G88" s="15"/>
    </row>
    <row r="89" spans="1:7" x14ac:dyDescent="0.35">
      <c r="A89" s="12" t="s">
        <v>1457</v>
      </c>
      <c r="B89" s="30" t="s">
        <v>1458</v>
      </c>
      <c r="C89" s="30" t="s">
        <v>898</v>
      </c>
      <c r="D89" s="13">
        <v>318</v>
      </c>
      <c r="E89" s="14">
        <v>12.24</v>
      </c>
      <c r="F89" s="15">
        <v>0</v>
      </c>
      <c r="G89" s="15"/>
    </row>
    <row r="90" spans="1:7" x14ac:dyDescent="0.35">
      <c r="A90" s="12" t="s">
        <v>1459</v>
      </c>
      <c r="B90" s="30" t="s">
        <v>1460</v>
      </c>
      <c r="C90" s="30" t="s">
        <v>1175</v>
      </c>
      <c r="D90" s="13">
        <v>142</v>
      </c>
      <c r="E90" s="14">
        <v>5.03</v>
      </c>
      <c r="F90" s="15">
        <v>0</v>
      </c>
      <c r="G90" s="15"/>
    </row>
    <row r="91" spans="1:7" x14ac:dyDescent="0.35">
      <c r="A91" s="12" t="s">
        <v>1461</v>
      </c>
      <c r="B91" s="30" t="s">
        <v>1462</v>
      </c>
      <c r="C91" s="30" t="s">
        <v>911</v>
      </c>
      <c r="D91" s="13">
        <v>6</v>
      </c>
      <c r="E91" s="14">
        <v>0.23</v>
      </c>
      <c r="F91" s="15">
        <v>0</v>
      </c>
      <c r="G91" s="15"/>
    </row>
    <row r="92" spans="1:7" x14ac:dyDescent="0.35">
      <c r="A92" s="16" t="s">
        <v>102</v>
      </c>
      <c r="B92" s="31"/>
      <c r="C92" s="31"/>
      <c r="D92" s="17"/>
      <c r="E92" s="37">
        <v>644365.42000000004</v>
      </c>
      <c r="F92" s="38">
        <v>0.72189999999999999</v>
      </c>
      <c r="G92" s="20"/>
    </row>
    <row r="93" spans="1:7" x14ac:dyDescent="0.35">
      <c r="A93" s="12"/>
      <c r="B93" s="30"/>
      <c r="C93" s="30"/>
      <c r="D93" s="13"/>
      <c r="E93" s="14"/>
      <c r="F93" s="15"/>
      <c r="G93" s="15"/>
    </row>
    <row r="94" spans="1:7" x14ac:dyDescent="0.35">
      <c r="A94" s="16" t="s">
        <v>1206</v>
      </c>
      <c r="B94" s="30"/>
      <c r="C94" s="30"/>
      <c r="D94" s="13"/>
      <c r="E94" s="14"/>
      <c r="F94" s="15"/>
      <c r="G94" s="15"/>
    </row>
    <row r="95" spans="1:7" x14ac:dyDescent="0.35">
      <c r="A95" s="12" t="s">
        <v>1463</v>
      </c>
      <c r="B95" s="30" t="s">
        <v>1464</v>
      </c>
      <c r="C95" s="30" t="s">
        <v>871</v>
      </c>
      <c r="D95" s="13">
        <v>3488931</v>
      </c>
      <c r="E95" s="14">
        <v>922.82</v>
      </c>
      <c r="F95" s="15">
        <v>1E-3</v>
      </c>
      <c r="G95" s="15"/>
    </row>
    <row r="96" spans="1:7" x14ac:dyDescent="0.35">
      <c r="A96" s="16" t="s">
        <v>102</v>
      </c>
      <c r="B96" s="31"/>
      <c r="C96" s="31"/>
      <c r="D96" s="17"/>
      <c r="E96" s="37">
        <v>922.82</v>
      </c>
      <c r="F96" s="38">
        <v>1E-3</v>
      </c>
      <c r="G96" s="20"/>
    </row>
    <row r="97" spans="1:7" x14ac:dyDescent="0.35">
      <c r="A97" s="21" t="s">
        <v>129</v>
      </c>
      <c r="B97" s="32"/>
      <c r="C97" s="32"/>
      <c r="D97" s="22"/>
      <c r="E97" s="27">
        <v>644365.42000000004</v>
      </c>
      <c r="F97" s="28">
        <v>0.72189999999999999</v>
      </c>
      <c r="G97" s="20"/>
    </row>
    <row r="98" spans="1:7" x14ac:dyDescent="0.35">
      <c r="A98" s="12"/>
      <c r="B98" s="30"/>
      <c r="C98" s="30"/>
      <c r="D98" s="13"/>
      <c r="E98" s="14"/>
      <c r="F98" s="15"/>
      <c r="G98" s="15"/>
    </row>
    <row r="99" spans="1:7" x14ac:dyDescent="0.35">
      <c r="A99" s="16" t="s">
        <v>1207</v>
      </c>
      <c r="B99" s="30"/>
      <c r="C99" s="30"/>
      <c r="D99" s="13"/>
      <c r="E99" s="14"/>
      <c r="F99" s="15"/>
      <c r="G99" s="15"/>
    </row>
    <row r="100" spans="1:7" x14ac:dyDescent="0.35">
      <c r="A100" s="16" t="s">
        <v>1208</v>
      </c>
      <c r="B100" s="30"/>
      <c r="C100" s="30"/>
      <c r="D100" s="13"/>
      <c r="E100" s="14"/>
      <c r="F100" s="15"/>
      <c r="G100" s="15"/>
    </row>
    <row r="101" spans="1:7" x14ac:dyDescent="0.35">
      <c r="A101" s="12" t="s">
        <v>1465</v>
      </c>
      <c r="B101" s="30"/>
      <c r="C101" s="30" t="s">
        <v>988</v>
      </c>
      <c r="D101" s="13">
        <v>1450650</v>
      </c>
      <c r="E101" s="14">
        <v>12027.34</v>
      </c>
      <c r="F101" s="15">
        <v>1.3472E-2</v>
      </c>
      <c r="G101" s="15"/>
    </row>
    <row r="102" spans="1:7" x14ac:dyDescent="0.35">
      <c r="A102" s="12" t="s">
        <v>1466</v>
      </c>
      <c r="B102" s="30"/>
      <c r="C102" s="30" t="s">
        <v>898</v>
      </c>
      <c r="D102" s="13">
        <v>143500</v>
      </c>
      <c r="E102" s="14">
        <v>5490.31</v>
      </c>
      <c r="F102" s="15">
        <v>6.1500000000000001E-3</v>
      </c>
      <c r="G102" s="15"/>
    </row>
    <row r="103" spans="1:7" x14ac:dyDescent="0.35">
      <c r="A103" s="12" t="s">
        <v>1211</v>
      </c>
      <c r="B103" s="30"/>
      <c r="C103" s="30" t="s">
        <v>893</v>
      </c>
      <c r="D103" s="13">
        <v>179200</v>
      </c>
      <c r="E103" s="14">
        <v>2978.21</v>
      </c>
      <c r="F103" s="15">
        <v>3.336E-3</v>
      </c>
      <c r="G103" s="15"/>
    </row>
    <row r="104" spans="1:7" x14ac:dyDescent="0.35">
      <c r="A104" s="12" t="s">
        <v>1467</v>
      </c>
      <c r="B104" s="30"/>
      <c r="C104" s="30" t="s">
        <v>911</v>
      </c>
      <c r="D104" s="13">
        <v>67200</v>
      </c>
      <c r="E104" s="14">
        <v>2545.77</v>
      </c>
      <c r="F104" s="15">
        <v>2.8509999999999998E-3</v>
      </c>
      <c r="G104" s="15"/>
    </row>
    <row r="105" spans="1:7" x14ac:dyDescent="0.35">
      <c r="A105" s="12" t="s">
        <v>1468</v>
      </c>
      <c r="B105" s="30"/>
      <c r="C105" s="30" t="s">
        <v>1175</v>
      </c>
      <c r="D105" s="13">
        <v>62400</v>
      </c>
      <c r="E105" s="14">
        <v>2206.31</v>
      </c>
      <c r="F105" s="15">
        <v>2.4710000000000001E-3</v>
      </c>
      <c r="G105" s="15"/>
    </row>
    <row r="106" spans="1:7" x14ac:dyDescent="0.35">
      <c r="A106" s="12" t="s">
        <v>1469</v>
      </c>
      <c r="B106" s="30"/>
      <c r="C106" s="30" t="s">
        <v>908</v>
      </c>
      <c r="D106" s="13">
        <v>27250</v>
      </c>
      <c r="E106" s="14">
        <v>740.72</v>
      </c>
      <c r="F106" s="15">
        <v>8.2899999999999998E-4</v>
      </c>
      <c r="G106" s="15"/>
    </row>
    <row r="107" spans="1:7" x14ac:dyDescent="0.35">
      <c r="A107" s="12" t="s">
        <v>1350</v>
      </c>
      <c r="B107" s="30"/>
      <c r="C107" s="30" t="s">
        <v>862</v>
      </c>
      <c r="D107" s="41">
        <v>-74800</v>
      </c>
      <c r="E107" s="23">
        <v>-1124.43</v>
      </c>
      <c r="F107" s="24">
        <v>-1.2589999999999999E-3</v>
      </c>
      <c r="G107" s="15"/>
    </row>
    <row r="108" spans="1:7" x14ac:dyDescent="0.35">
      <c r="A108" s="12" t="s">
        <v>1343</v>
      </c>
      <c r="B108" s="30"/>
      <c r="C108" s="30" t="s">
        <v>911</v>
      </c>
      <c r="D108" s="41">
        <v>-34800</v>
      </c>
      <c r="E108" s="23">
        <v>-1190.5999999999999</v>
      </c>
      <c r="F108" s="24">
        <v>-1.333E-3</v>
      </c>
      <c r="G108" s="15"/>
    </row>
    <row r="109" spans="1:7" x14ac:dyDescent="0.35">
      <c r="A109" s="12" t="s">
        <v>1345</v>
      </c>
      <c r="B109" s="30"/>
      <c r="C109" s="30" t="s">
        <v>908</v>
      </c>
      <c r="D109" s="41">
        <v>-457200</v>
      </c>
      <c r="E109" s="23">
        <v>-2450.36</v>
      </c>
      <c r="F109" s="24">
        <v>-2.7439999999999999E-3</v>
      </c>
      <c r="G109" s="15"/>
    </row>
    <row r="110" spans="1:7" x14ac:dyDescent="0.35">
      <c r="A110" s="12" t="s">
        <v>1357</v>
      </c>
      <c r="B110" s="30"/>
      <c r="C110" s="30" t="s">
        <v>877</v>
      </c>
      <c r="D110" s="41">
        <v>-97850</v>
      </c>
      <c r="E110" s="23">
        <v>-2485.1</v>
      </c>
      <c r="F110" s="24">
        <v>-2.7829999999999999E-3</v>
      </c>
      <c r="G110" s="15"/>
    </row>
    <row r="111" spans="1:7" x14ac:dyDescent="0.35">
      <c r="A111" s="12" t="s">
        <v>1330</v>
      </c>
      <c r="B111" s="30"/>
      <c r="C111" s="30" t="s">
        <v>882</v>
      </c>
      <c r="D111" s="41">
        <v>-493500</v>
      </c>
      <c r="E111" s="23">
        <v>-2585.69</v>
      </c>
      <c r="F111" s="24">
        <v>-2.8960000000000001E-3</v>
      </c>
      <c r="G111" s="15"/>
    </row>
    <row r="112" spans="1:7" x14ac:dyDescent="0.35">
      <c r="A112" s="12" t="s">
        <v>1470</v>
      </c>
      <c r="B112" s="30"/>
      <c r="C112" s="30" t="s">
        <v>1471</v>
      </c>
      <c r="D112" s="41">
        <v>-300000</v>
      </c>
      <c r="E112" s="23">
        <v>-54153.15</v>
      </c>
      <c r="F112" s="24">
        <v>-6.0659999999999999E-2</v>
      </c>
      <c r="G112" s="15"/>
    </row>
    <row r="113" spans="1:7" x14ac:dyDescent="0.35">
      <c r="A113" s="16" t="s">
        <v>102</v>
      </c>
      <c r="B113" s="31"/>
      <c r="C113" s="31"/>
      <c r="D113" s="17"/>
      <c r="E113" s="42">
        <v>-38000.67</v>
      </c>
      <c r="F113" s="43">
        <v>-4.2566E-2</v>
      </c>
      <c r="G113" s="20"/>
    </row>
    <row r="114" spans="1:7" x14ac:dyDescent="0.35">
      <c r="A114" s="12"/>
      <c r="B114" s="30"/>
      <c r="C114" s="30"/>
      <c r="D114" s="13"/>
      <c r="E114" s="14"/>
      <c r="F114" s="15"/>
      <c r="G114" s="15"/>
    </row>
    <row r="115" spans="1:7" x14ac:dyDescent="0.35">
      <c r="A115" s="12"/>
      <c r="B115" s="30"/>
      <c r="C115" s="30"/>
      <c r="D115" s="13"/>
      <c r="E115" s="14"/>
      <c r="F115" s="15"/>
      <c r="G115" s="15"/>
    </row>
    <row r="116" spans="1:7" x14ac:dyDescent="0.35">
      <c r="A116" s="16" t="s">
        <v>1472</v>
      </c>
      <c r="B116" s="31"/>
      <c r="C116" s="31"/>
      <c r="D116" s="17"/>
      <c r="E116" s="46"/>
      <c r="F116" s="20"/>
      <c r="G116" s="20"/>
    </row>
    <row r="117" spans="1:7" x14ac:dyDescent="0.35">
      <c r="A117" s="12" t="s">
        <v>1473</v>
      </c>
      <c r="B117" s="30"/>
      <c r="C117" s="30" t="s">
        <v>1474</v>
      </c>
      <c r="D117" s="13">
        <v>18950</v>
      </c>
      <c r="E117" s="14">
        <v>100.28</v>
      </c>
      <c r="F117" s="15">
        <v>1E-4</v>
      </c>
      <c r="G117" s="15"/>
    </row>
    <row r="118" spans="1:7" x14ac:dyDescent="0.35">
      <c r="A118" s="12" t="s">
        <v>1475</v>
      </c>
      <c r="B118" s="30"/>
      <c r="C118" s="30" t="s">
        <v>1476</v>
      </c>
      <c r="D118" s="41">
        <v>-4500</v>
      </c>
      <c r="E118" s="23">
        <v>-0.39</v>
      </c>
      <c r="F118" s="15">
        <v>0</v>
      </c>
      <c r="G118" s="15"/>
    </row>
    <row r="119" spans="1:7" x14ac:dyDescent="0.35">
      <c r="A119" s="12" t="s">
        <v>1477</v>
      </c>
      <c r="B119" s="30"/>
      <c r="C119" s="30" t="s">
        <v>1476</v>
      </c>
      <c r="D119" s="41">
        <v>-8600</v>
      </c>
      <c r="E119" s="23">
        <v>-0.56999999999999995</v>
      </c>
      <c r="F119" s="15">
        <v>0</v>
      </c>
      <c r="G119" s="15"/>
    </row>
    <row r="120" spans="1:7" x14ac:dyDescent="0.35">
      <c r="A120" s="12" t="s">
        <v>1478</v>
      </c>
      <c r="B120" s="30"/>
      <c r="C120" s="30" t="s">
        <v>1476</v>
      </c>
      <c r="D120" s="41">
        <v>-25600</v>
      </c>
      <c r="E120" s="23">
        <v>-0.59</v>
      </c>
      <c r="F120" s="15">
        <v>0</v>
      </c>
      <c r="G120" s="15"/>
    </row>
    <row r="121" spans="1:7" x14ac:dyDescent="0.35">
      <c r="A121" s="12" t="s">
        <v>1479</v>
      </c>
      <c r="B121" s="30"/>
      <c r="C121" s="30" t="s">
        <v>1476</v>
      </c>
      <c r="D121" s="41">
        <v>-204050</v>
      </c>
      <c r="E121" s="23">
        <v>-2.14</v>
      </c>
      <c r="F121" s="15">
        <v>0</v>
      </c>
      <c r="G121" s="15"/>
    </row>
    <row r="122" spans="1:7" x14ac:dyDescent="0.35">
      <c r="A122" s="12" t="s">
        <v>1480</v>
      </c>
      <c r="B122" s="30"/>
      <c r="C122" s="30" t="s">
        <v>1476</v>
      </c>
      <c r="D122" s="41">
        <v>-11500</v>
      </c>
      <c r="E122" s="23">
        <v>-4.43</v>
      </c>
      <c r="F122" s="15">
        <v>0</v>
      </c>
      <c r="G122" s="15"/>
    </row>
    <row r="123" spans="1:7" x14ac:dyDescent="0.35">
      <c r="A123" s="12" t="s">
        <v>1481</v>
      </c>
      <c r="B123" s="30"/>
      <c r="C123" s="30" t="s">
        <v>1476</v>
      </c>
      <c r="D123" s="41">
        <v>-483000</v>
      </c>
      <c r="E123" s="23">
        <v>-9.9</v>
      </c>
      <c r="F123" s="15">
        <v>0</v>
      </c>
      <c r="G123" s="15"/>
    </row>
    <row r="124" spans="1:7" x14ac:dyDescent="0.35">
      <c r="A124" s="12" t="s">
        <v>1482</v>
      </c>
      <c r="B124" s="30"/>
      <c r="C124" s="30" t="s">
        <v>1476</v>
      </c>
      <c r="D124" s="41">
        <v>-16625</v>
      </c>
      <c r="E124" s="23">
        <v>-11.85</v>
      </c>
      <c r="F124" s="15">
        <v>0</v>
      </c>
      <c r="G124" s="15"/>
    </row>
    <row r="125" spans="1:7" x14ac:dyDescent="0.35">
      <c r="A125" s="12" t="s">
        <v>1483</v>
      </c>
      <c r="B125" s="30"/>
      <c r="C125" s="30" t="s">
        <v>1476</v>
      </c>
      <c r="D125" s="41">
        <v>-12000</v>
      </c>
      <c r="E125" s="23">
        <v>-12.09</v>
      </c>
      <c r="F125" s="15">
        <v>0</v>
      </c>
      <c r="G125" s="15"/>
    </row>
    <row r="126" spans="1:7" x14ac:dyDescent="0.35">
      <c r="A126" s="12" t="s">
        <v>1484</v>
      </c>
      <c r="B126" s="30"/>
      <c r="C126" s="30" t="s">
        <v>1476</v>
      </c>
      <c r="D126" s="41">
        <v>-111000</v>
      </c>
      <c r="E126" s="23">
        <v>-15.82</v>
      </c>
      <c r="F126" s="15">
        <v>0</v>
      </c>
      <c r="G126" s="15"/>
    </row>
    <row r="127" spans="1:7" x14ac:dyDescent="0.35">
      <c r="A127" s="12" t="s">
        <v>1485</v>
      </c>
      <c r="B127" s="30"/>
      <c r="C127" s="30" t="s">
        <v>1476</v>
      </c>
      <c r="D127" s="41">
        <v>-8700</v>
      </c>
      <c r="E127" s="23">
        <v>-17.059999999999999</v>
      </c>
      <c r="F127" s="15">
        <v>0</v>
      </c>
      <c r="G127" s="15"/>
    </row>
    <row r="128" spans="1:7" x14ac:dyDescent="0.35">
      <c r="A128" s="12" t="s">
        <v>1486</v>
      </c>
      <c r="B128" s="30"/>
      <c r="C128" s="30" t="s">
        <v>1476</v>
      </c>
      <c r="D128" s="41">
        <v>-1767000</v>
      </c>
      <c r="E128" s="23">
        <v>-27.39</v>
      </c>
      <c r="F128" s="15">
        <v>0</v>
      </c>
      <c r="G128" s="15"/>
    </row>
    <row r="129" spans="1:7" x14ac:dyDescent="0.35">
      <c r="A129" s="12" t="s">
        <v>1487</v>
      </c>
      <c r="B129" s="30"/>
      <c r="C129" s="30" t="s">
        <v>1476</v>
      </c>
      <c r="D129" s="41">
        <v>-223200</v>
      </c>
      <c r="E129" s="23">
        <v>-32.590000000000003</v>
      </c>
      <c r="F129" s="15">
        <v>0</v>
      </c>
      <c r="G129" s="15"/>
    </row>
    <row r="130" spans="1:7" x14ac:dyDescent="0.35">
      <c r="A130" s="12" t="s">
        <v>1488</v>
      </c>
      <c r="B130" s="30"/>
      <c r="C130" s="30" t="s">
        <v>1476</v>
      </c>
      <c r="D130" s="41">
        <v>-25500</v>
      </c>
      <c r="E130" s="23">
        <v>-72.17</v>
      </c>
      <c r="F130" s="24">
        <v>-1E-4</v>
      </c>
      <c r="G130" s="15"/>
    </row>
    <row r="131" spans="1:7" x14ac:dyDescent="0.35">
      <c r="A131" s="16" t="s">
        <v>102</v>
      </c>
      <c r="B131" s="31"/>
      <c r="C131" s="31"/>
      <c r="D131" s="17"/>
      <c r="E131" s="42">
        <v>-106.71</v>
      </c>
      <c r="F131" s="38">
        <v>0</v>
      </c>
      <c r="G131" s="20"/>
    </row>
    <row r="132" spans="1:7" x14ac:dyDescent="0.35">
      <c r="A132" s="12"/>
      <c r="B132" s="30"/>
      <c r="C132" s="30"/>
      <c r="D132" s="13"/>
      <c r="E132" s="14"/>
      <c r="F132" s="15"/>
      <c r="G132" s="15"/>
    </row>
    <row r="133" spans="1:7" x14ac:dyDescent="0.35">
      <c r="A133" s="21" t="s">
        <v>129</v>
      </c>
      <c r="B133" s="32"/>
      <c r="C133" s="32"/>
      <c r="D133" s="22"/>
      <c r="E133" s="44">
        <v>-106.71</v>
      </c>
      <c r="F133" s="19">
        <v>0</v>
      </c>
      <c r="G133" s="20"/>
    </row>
    <row r="134" spans="1:7" x14ac:dyDescent="0.35">
      <c r="A134" s="16" t="s">
        <v>137</v>
      </c>
      <c r="B134" s="30"/>
      <c r="C134" s="30"/>
      <c r="D134" s="13"/>
      <c r="E134" s="14"/>
      <c r="F134" s="15"/>
      <c r="G134" s="15"/>
    </row>
    <row r="135" spans="1:7" x14ac:dyDescent="0.35">
      <c r="A135" s="16" t="s">
        <v>138</v>
      </c>
      <c r="B135" s="30"/>
      <c r="C135" s="30"/>
      <c r="D135" s="13"/>
      <c r="E135" s="14"/>
      <c r="F135" s="15"/>
      <c r="G135" s="15"/>
    </row>
    <row r="136" spans="1:7" x14ac:dyDescent="0.35">
      <c r="A136" s="12" t="s">
        <v>535</v>
      </c>
      <c r="B136" s="30" t="s">
        <v>536</v>
      </c>
      <c r="C136" s="30" t="s">
        <v>141</v>
      </c>
      <c r="D136" s="13">
        <v>15000000</v>
      </c>
      <c r="E136" s="14">
        <v>14918.48</v>
      </c>
      <c r="F136" s="15">
        <v>1.67E-2</v>
      </c>
      <c r="G136" s="15">
        <v>7.4099999999999999E-2</v>
      </c>
    </row>
    <row r="137" spans="1:7" x14ac:dyDescent="0.35">
      <c r="A137" s="12" t="s">
        <v>1489</v>
      </c>
      <c r="B137" s="30" t="s">
        <v>1490</v>
      </c>
      <c r="C137" s="30" t="s">
        <v>148</v>
      </c>
      <c r="D137" s="13">
        <v>10000000</v>
      </c>
      <c r="E137" s="14">
        <v>9722.41</v>
      </c>
      <c r="F137" s="15">
        <v>1.09E-2</v>
      </c>
      <c r="G137" s="15">
        <v>7.5200000000000003E-2</v>
      </c>
    </row>
    <row r="138" spans="1:7" x14ac:dyDescent="0.35">
      <c r="A138" s="12" t="s">
        <v>541</v>
      </c>
      <c r="B138" s="30" t="s">
        <v>542</v>
      </c>
      <c r="C138" s="30" t="s">
        <v>141</v>
      </c>
      <c r="D138" s="13">
        <v>10000000</v>
      </c>
      <c r="E138" s="14">
        <v>9554.6200000000008</v>
      </c>
      <c r="F138" s="15">
        <v>1.0699999999999999E-2</v>
      </c>
      <c r="G138" s="15">
        <v>7.5399999999999995E-2</v>
      </c>
    </row>
    <row r="139" spans="1:7" x14ac:dyDescent="0.35">
      <c r="A139" s="12" t="s">
        <v>539</v>
      </c>
      <c r="B139" s="30" t="s">
        <v>540</v>
      </c>
      <c r="C139" s="30" t="s">
        <v>148</v>
      </c>
      <c r="D139" s="13">
        <v>7500000</v>
      </c>
      <c r="E139" s="14">
        <v>7442.98</v>
      </c>
      <c r="F139" s="15">
        <v>8.3000000000000001E-3</v>
      </c>
      <c r="G139" s="15">
        <v>7.5450000000000003E-2</v>
      </c>
    </row>
    <row r="140" spans="1:7" x14ac:dyDescent="0.35">
      <c r="A140" s="12" t="s">
        <v>149</v>
      </c>
      <c r="B140" s="30" t="s">
        <v>150</v>
      </c>
      <c r="C140" s="30" t="s">
        <v>148</v>
      </c>
      <c r="D140" s="13">
        <v>5000000</v>
      </c>
      <c r="E140" s="14">
        <v>4981.7299999999996</v>
      </c>
      <c r="F140" s="15">
        <v>5.5999999999999999E-3</v>
      </c>
      <c r="G140" s="15">
        <v>7.2900999999999994E-2</v>
      </c>
    </row>
    <row r="141" spans="1:7" x14ac:dyDescent="0.35">
      <c r="A141" s="12" t="s">
        <v>1491</v>
      </c>
      <c r="B141" s="30" t="s">
        <v>1492</v>
      </c>
      <c r="C141" s="30" t="s">
        <v>141</v>
      </c>
      <c r="D141" s="13">
        <v>5000000</v>
      </c>
      <c r="E141" s="14">
        <v>4919.59</v>
      </c>
      <c r="F141" s="15">
        <v>5.4999999999999997E-3</v>
      </c>
      <c r="G141" s="15">
        <v>7.3649999999999993E-2</v>
      </c>
    </row>
    <row r="142" spans="1:7" x14ac:dyDescent="0.35">
      <c r="A142" s="12" t="s">
        <v>1493</v>
      </c>
      <c r="B142" s="30" t="s">
        <v>1494</v>
      </c>
      <c r="C142" s="30" t="s">
        <v>141</v>
      </c>
      <c r="D142" s="13">
        <v>2500000</v>
      </c>
      <c r="E142" s="14">
        <v>2495.1999999999998</v>
      </c>
      <c r="F142" s="15">
        <v>2.8E-3</v>
      </c>
      <c r="G142" s="15">
        <v>8.2185999999999995E-2</v>
      </c>
    </row>
    <row r="143" spans="1:7" x14ac:dyDescent="0.35">
      <c r="A143" s="12" t="s">
        <v>1495</v>
      </c>
      <c r="B143" s="30" t="s">
        <v>1496</v>
      </c>
      <c r="C143" s="30" t="s">
        <v>321</v>
      </c>
      <c r="D143" s="13">
        <v>2500000</v>
      </c>
      <c r="E143" s="14">
        <v>2463.86</v>
      </c>
      <c r="F143" s="15">
        <v>2.8E-3</v>
      </c>
      <c r="G143" s="15">
        <v>7.9229999999999995E-2</v>
      </c>
    </row>
    <row r="144" spans="1:7" x14ac:dyDescent="0.35">
      <c r="A144" s="16" t="s">
        <v>102</v>
      </c>
      <c r="B144" s="31"/>
      <c r="C144" s="31"/>
      <c r="D144" s="17"/>
      <c r="E144" s="37">
        <v>56498.87</v>
      </c>
      <c r="F144" s="38">
        <v>6.3299999999999995E-2</v>
      </c>
      <c r="G144" s="20"/>
    </row>
    <row r="145" spans="1:7" x14ac:dyDescent="0.35">
      <c r="A145" s="12"/>
      <c r="B145" s="30"/>
      <c r="C145" s="30"/>
      <c r="D145" s="13"/>
      <c r="E145" s="14"/>
      <c r="F145" s="15"/>
      <c r="G145" s="15"/>
    </row>
    <row r="146" spans="1:7" x14ac:dyDescent="0.35">
      <c r="A146" s="16" t="s">
        <v>403</v>
      </c>
      <c r="B146" s="30"/>
      <c r="C146" s="30"/>
      <c r="D146" s="13"/>
      <c r="E146" s="14"/>
      <c r="F146" s="15"/>
      <c r="G146" s="15"/>
    </row>
    <row r="147" spans="1:7" x14ac:dyDescent="0.35">
      <c r="A147" s="12" t="s">
        <v>758</v>
      </c>
      <c r="B147" s="30" t="s">
        <v>759</v>
      </c>
      <c r="C147" s="30" t="s">
        <v>101</v>
      </c>
      <c r="D147" s="13">
        <v>16000000</v>
      </c>
      <c r="E147" s="14">
        <v>15194.42</v>
      </c>
      <c r="F147" s="15">
        <v>1.7000000000000001E-2</v>
      </c>
      <c r="G147" s="15">
        <v>7.3070999999999997E-2</v>
      </c>
    </row>
    <row r="148" spans="1:7" x14ac:dyDescent="0.35">
      <c r="A148" s="12" t="s">
        <v>563</v>
      </c>
      <c r="B148" s="30" t="s">
        <v>564</v>
      </c>
      <c r="C148" s="30" t="s">
        <v>101</v>
      </c>
      <c r="D148" s="13">
        <v>15000000</v>
      </c>
      <c r="E148" s="14">
        <v>14304.93</v>
      </c>
      <c r="F148" s="15">
        <v>1.6E-2</v>
      </c>
      <c r="G148" s="15">
        <v>7.1867E-2</v>
      </c>
    </row>
    <row r="149" spans="1:7" x14ac:dyDescent="0.35">
      <c r="A149" s="12" t="s">
        <v>524</v>
      </c>
      <c r="B149" s="30" t="s">
        <v>525</v>
      </c>
      <c r="C149" s="30" t="s">
        <v>101</v>
      </c>
      <c r="D149" s="13">
        <v>10000000</v>
      </c>
      <c r="E149" s="14">
        <v>9999.41</v>
      </c>
      <c r="F149" s="15">
        <v>1.12E-2</v>
      </c>
      <c r="G149" s="15">
        <v>7.3780999999999999E-2</v>
      </c>
    </row>
    <row r="150" spans="1:7" x14ac:dyDescent="0.35">
      <c r="A150" s="12" t="s">
        <v>656</v>
      </c>
      <c r="B150" s="30" t="s">
        <v>657</v>
      </c>
      <c r="C150" s="30" t="s">
        <v>101</v>
      </c>
      <c r="D150" s="13">
        <v>10000000</v>
      </c>
      <c r="E150" s="14">
        <v>9458.58</v>
      </c>
      <c r="F150" s="15">
        <v>1.06E-2</v>
      </c>
      <c r="G150" s="15">
        <v>7.3112999999999997E-2</v>
      </c>
    </row>
    <row r="151" spans="1:7" x14ac:dyDescent="0.35">
      <c r="A151" s="12" t="s">
        <v>1370</v>
      </c>
      <c r="B151" s="30" t="s">
        <v>1371</v>
      </c>
      <c r="C151" s="30" t="s">
        <v>101</v>
      </c>
      <c r="D151" s="13">
        <v>5000000</v>
      </c>
      <c r="E151" s="14">
        <v>5003.4799999999996</v>
      </c>
      <c r="F151" s="15">
        <v>5.5999999999999999E-3</v>
      </c>
      <c r="G151" s="15">
        <v>6.2454999999999997E-2</v>
      </c>
    </row>
    <row r="152" spans="1:7" x14ac:dyDescent="0.35">
      <c r="A152" s="12" t="s">
        <v>1497</v>
      </c>
      <c r="B152" s="30" t="s">
        <v>1498</v>
      </c>
      <c r="C152" s="30" t="s">
        <v>101</v>
      </c>
      <c r="D152" s="13">
        <v>2500000</v>
      </c>
      <c r="E152" s="14">
        <v>2506.35</v>
      </c>
      <c r="F152" s="15">
        <v>2.8E-3</v>
      </c>
      <c r="G152" s="15">
        <v>6.8309999999999996E-2</v>
      </c>
    </row>
    <row r="153" spans="1:7" x14ac:dyDescent="0.35">
      <c r="A153" s="16" t="s">
        <v>102</v>
      </c>
      <c r="B153" s="31"/>
      <c r="C153" s="31"/>
      <c r="D153" s="17"/>
      <c r="E153" s="37">
        <v>56467.17</v>
      </c>
      <c r="F153" s="38">
        <v>6.3200000000000006E-2</v>
      </c>
      <c r="G153" s="20"/>
    </row>
    <row r="154" spans="1:7" x14ac:dyDescent="0.35">
      <c r="A154" s="12"/>
      <c r="B154" s="30"/>
      <c r="C154" s="30"/>
      <c r="D154" s="13"/>
      <c r="E154" s="14"/>
      <c r="F154" s="15"/>
      <c r="G154" s="15"/>
    </row>
    <row r="155" spans="1:7" x14ac:dyDescent="0.35">
      <c r="A155" s="16" t="s">
        <v>192</v>
      </c>
      <c r="B155" s="30"/>
      <c r="C155" s="30"/>
      <c r="D155" s="13"/>
      <c r="E155" s="14"/>
      <c r="F155" s="15"/>
      <c r="G155" s="15"/>
    </row>
    <row r="156" spans="1:7" x14ac:dyDescent="0.35">
      <c r="A156" s="16" t="s">
        <v>102</v>
      </c>
      <c r="B156" s="30"/>
      <c r="C156" s="30"/>
      <c r="D156" s="13"/>
      <c r="E156" s="39" t="s">
        <v>96</v>
      </c>
      <c r="F156" s="40" t="s">
        <v>96</v>
      </c>
      <c r="G156" s="15"/>
    </row>
    <row r="157" spans="1:7" x14ac:dyDescent="0.35">
      <c r="A157" s="12"/>
      <c r="B157" s="30"/>
      <c r="C157" s="30"/>
      <c r="D157" s="13"/>
      <c r="E157" s="14"/>
      <c r="F157" s="15"/>
      <c r="G157" s="15"/>
    </row>
    <row r="158" spans="1:7" x14ac:dyDescent="0.35">
      <c r="A158" s="16" t="s">
        <v>193</v>
      </c>
      <c r="B158" s="30"/>
      <c r="C158" s="30"/>
      <c r="D158" s="13"/>
      <c r="E158" s="14"/>
      <c r="F158" s="15"/>
      <c r="G158" s="15"/>
    </row>
    <row r="159" spans="1:7" x14ac:dyDescent="0.35">
      <c r="A159" s="16" t="s">
        <v>102</v>
      </c>
      <c r="B159" s="30"/>
      <c r="C159" s="30"/>
      <c r="D159" s="13"/>
      <c r="E159" s="39" t="s">
        <v>96</v>
      </c>
      <c r="F159" s="40" t="s">
        <v>96</v>
      </c>
      <c r="G159" s="15"/>
    </row>
    <row r="160" spans="1:7" x14ac:dyDescent="0.35">
      <c r="A160" s="12"/>
      <c r="B160" s="30"/>
      <c r="C160" s="30"/>
      <c r="D160" s="13"/>
      <c r="E160" s="14"/>
      <c r="F160" s="15"/>
      <c r="G160" s="15"/>
    </row>
    <row r="161" spans="1:7" x14ac:dyDescent="0.35">
      <c r="A161" s="21" t="s">
        <v>129</v>
      </c>
      <c r="B161" s="32"/>
      <c r="C161" s="32"/>
      <c r="D161" s="22"/>
      <c r="E161" s="18">
        <v>112966.04</v>
      </c>
      <c r="F161" s="19">
        <v>0.1265</v>
      </c>
      <c r="G161" s="20"/>
    </row>
    <row r="162" spans="1:7" x14ac:dyDescent="0.35">
      <c r="A162" s="12"/>
      <c r="B162" s="30"/>
      <c r="C162" s="30"/>
      <c r="D162" s="13"/>
      <c r="E162" s="14"/>
      <c r="F162" s="15"/>
      <c r="G162" s="15"/>
    </row>
    <row r="163" spans="1:7" x14ac:dyDescent="0.35">
      <c r="A163" s="16" t="s">
        <v>97</v>
      </c>
      <c r="B163" s="30"/>
      <c r="C163" s="30"/>
      <c r="D163" s="13"/>
      <c r="E163" s="14"/>
      <c r="F163" s="15"/>
      <c r="G163" s="15"/>
    </row>
    <row r="164" spans="1:7" x14ac:dyDescent="0.35">
      <c r="A164" s="12"/>
      <c r="B164" s="30"/>
      <c r="C164" s="30"/>
      <c r="D164" s="13"/>
      <c r="E164" s="14"/>
      <c r="F164" s="15"/>
      <c r="G164" s="15"/>
    </row>
    <row r="165" spans="1:7" x14ac:dyDescent="0.35">
      <c r="A165" s="16" t="s">
        <v>98</v>
      </c>
      <c r="B165" s="30"/>
      <c r="C165" s="30"/>
      <c r="D165" s="13"/>
      <c r="E165" s="14"/>
      <c r="F165" s="15"/>
      <c r="G165" s="15"/>
    </row>
    <row r="166" spans="1:7" x14ac:dyDescent="0.35">
      <c r="A166" s="12" t="s">
        <v>1499</v>
      </c>
      <c r="B166" s="30" t="s">
        <v>1500</v>
      </c>
      <c r="C166" s="30" t="s">
        <v>101</v>
      </c>
      <c r="D166" s="13">
        <v>72500000</v>
      </c>
      <c r="E166" s="14">
        <v>72136.850000000006</v>
      </c>
      <c r="F166" s="15">
        <v>8.0799999999999997E-2</v>
      </c>
      <c r="G166" s="15">
        <v>6.1249999999999999E-2</v>
      </c>
    </row>
    <row r="167" spans="1:7" x14ac:dyDescent="0.35">
      <c r="A167" s="12" t="s">
        <v>1501</v>
      </c>
      <c r="B167" s="30" t="s">
        <v>1502</v>
      </c>
      <c r="C167" s="30" t="s">
        <v>101</v>
      </c>
      <c r="D167" s="13">
        <v>5000000</v>
      </c>
      <c r="E167" s="14">
        <v>4969.07</v>
      </c>
      <c r="F167" s="15">
        <v>5.5999999999999999E-3</v>
      </c>
      <c r="G167" s="15">
        <v>6.1404E-2</v>
      </c>
    </row>
    <row r="168" spans="1:7" x14ac:dyDescent="0.35">
      <c r="A168" s="12" t="s">
        <v>1503</v>
      </c>
      <c r="B168" s="30" t="s">
        <v>1504</v>
      </c>
      <c r="C168" s="30" t="s">
        <v>101</v>
      </c>
      <c r="D168" s="13">
        <v>2500000</v>
      </c>
      <c r="E168" s="14">
        <v>2469.0700000000002</v>
      </c>
      <c r="F168" s="15">
        <v>2.8E-3</v>
      </c>
      <c r="G168" s="15">
        <v>6.3500000000000001E-2</v>
      </c>
    </row>
    <row r="169" spans="1:7" x14ac:dyDescent="0.35">
      <c r="A169" s="12" t="s">
        <v>1392</v>
      </c>
      <c r="B169" s="30" t="s">
        <v>1393</v>
      </c>
      <c r="C169" s="30" t="s">
        <v>101</v>
      </c>
      <c r="D169" s="13">
        <v>500000</v>
      </c>
      <c r="E169" s="14">
        <v>494.41</v>
      </c>
      <c r="F169" s="15">
        <v>5.9999999999999995E-4</v>
      </c>
      <c r="G169" s="15">
        <v>6.3501000000000002E-2</v>
      </c>
    </row>
    <row r="170" spans="1:7" x14ac:dyDescent="0.35">
      <c r="A170" s="16" t="s">
        <v>102</v>
      </c>
      <c r="B170" s="31"/>
      <c r="C170" s="31"/>
      <c r="D170" s="17"/>
      <c r="E170" s="37">
        <v>80069.399999999994</v>
      </c>
      <c r="F170" s="38">
        <v>8.9800000000000005E-2</v>
      </c>
      <c r="G170" s="20"/>
    </row>
    <row r="171" spans="1:7" x14ac:dyDescent="0.35">
      <c r="A171" s="16" t="s">
        <v>103</v>
      </c>
      <c r="B171" s="30"/>
      <c r="C171" s="30"/>
      <c r="D171" s="13"/>
      <c r="E171" s="14"/>
      <c r="F171" s="15"/>
      <c r="G171" s="15"/>
    </row>
    <row r="172" spans="1:7" x14ac:dyDescent="0.35">
      <c r="A172" s="12" t="s">
        <v>1505</v>
      </c>
      <c r="B172" s="30" t="s">
        <v>1506</v>
      </c>
      <c r="C172" s="30" t="s">
        <v>106</v>
      </c>
      <c r="D172" s="13">
        <v>7500000</v>
      </c>
      <c r="E172" s="14">
        <v>7318.67</v>
      </c>
      <c r="F172" s="15">
        <v>8.2000000000000007E-3</v>
      </c>
      <c r="G172" s="15">
        <v>7.0650000000000004E-2</v>
      </c>
    </row>
    <row r="173" spans="1:7" x14ac:dyDescent="0.35">
      <c r="A173" s="16" t="s">
        <v>102</v>
      </c>
      <c r="B173" s="31"/>
      <c r="C173" s="31"/>
      <c r="D173" s="17"/>
      <c r="E173" s="37">
        <v>7318.67</v>
      </c>
      <c r="F173" s="38">
        <v>8.2000000000000007E-3</v>
      </c>
      <c r="G173" s="20"/>
    </row>
    <row r="174" spans="1:7" x14ac:dyDescent="0.35">
      <c r="A174" s="12"/>
      <c r="B174" s="30"/>
      <c r="C174" s="30"/>
      <c r="D174" s="13"/>
      <c r="E174" s="14"/>
      <c r="F174" s="15"/>
      <c r="G174" s="15"/>
    </row>
    <row r="175" spans="1:7" x14ac:dyDescent="0.35">
      <c r="A175" s="21" t="s">
        <v>129</v>
      </c>
      <c r="B175" s="32"/>
      <c r="C175" s="32"/>
      <c r="D175" s="22"/>
      <c r="E175" s="18">
        <v>87388.07</v>
      </c>
      <c r="F175" s="19">
        <v>9.8000000000000004E-2</v>
      </c>
      <c r="G175" s="20"/>
    </row>
    <row r="176" spans="1:7" x14ac:dyDescent="0.35">
      <c r="A176" s="12"/>
      <c r="B176" s="30"/>
      <c r="C176" s="30"/>
      <c r="D176" s="13"/>
      <c r="E176" s="14"/>
      <c r="F176" s="15"/>
      <c r="G176" s="15"/>
    </row>
    <row r="177" spans="1:7" x14ac:dyDescent="0.35">
      <c r="A177" s="16" t="s">
        <v>130</v>
      </c>
      <c r="B177" s="30"/>
      <c r="C177" s="30"/>
      <c r="D177" s="13"/>
      <c r="E177" s="14"/>
      <c r="F177" s="15"/>
      <c r="G177" s="15"/>
    </row>
    <row r="178" spans="1:7" x14ac:dyDescent="0.35">
      <c r="A178" s="12" t="s">
        <v>131</v>
      </c>
      <c r="B178" s="30"/>
      <c r="C178" s="30"/>
      <c r="D178" s="13"/>
      <c r="E178" s="14">
        <v>49305.75</v>
      </c>
      <c r="F178" s="15">
        <v>5.5199999999999999E-2</v>
      </c>
      <c r="G178" s="91">
        <v>6.1074000000000003E-2</v>
      </c>
    </row>
    <row r="179" spans="1:7" x14ac:dyDescent="0.35">
      <c r="A179" s="16" t="s">
        <v>102</v>
      </c>
      <c r="B179" s="31"/>
      <c r="C179" s="31"/>
      <c r="D179" s="17"/>
      <c r="E179" s="37">
        <v>49305.75</v>
      </c>
      <c r="F179" s="38">
        <v>5.5199999999999999E-2</v>
      </c>
      <c r="G179" s="92"/>
    </row>
    <row r="180" spans="1:7" x14ac:dyDescent="0.35">
      <c r="A180" s="12"/>
      <c r="B180" s="30"/>
      <c r="C180" s="30"/>
      <c r="D180" s="13"/>
      <c r="E180" s="14"/>
      <c r="F180" s="15"/>
      <c r="G180" s="91"/>
    </row>
    <row r="181" spans="1:7" x14ac:dyDescent="0.35">
      <c r="A181" s="21" t="s">
        <v>129</v>
      </c>
      <c r="B181" s="32"/>
      <c r="C181" s="32"/>
      <c r="D181" s="22"/>
      <c r="E181" s="18">
        <v>49305.75</v>
      </c>
      <c r="F181" s="19">
        <v>5.5199999999999999E-2</v>
      </c>
      <c r="G181" s="92"/>
    </row>
    <row r="182" spans="1:7" x14ac:dyDescent="0.35">
      <c r="A182" s="12" t="s">
        <v>132</v>
      </c>
      <c r="B182" s="30"/>
      <c r="C182" s="30"/>
      <c r="D182" s="13"/>
      <c r="E182" s="14">
        <v>2693.4040679999998</v>
      </c>
      <c r="F182" s="15">
        <v>3.0170000000000002E-3</v>
      </c>
      <c r="G182" s="91"/>
    </row>
    <row r="183" spans="1:7" x14ac:dyDescent="0.35">
      <c r="A183" s="12" t="s">
        <v>133</v>
      </c>
      <c r="B183" s="30"/>
      <c r="C183" s="30"/>
      <c r="D183" s="13"/>
      <c r="E183" s="23">
        <v>-3886.8440679999999</v>
      </c>
      <c r="F183" s="24">
        <v>-4.6169999999999996E-3</v>
      </c>
      <c r="G183" s="91">
        <v>6.1074000000000003E-2</v>
      </c>
    </row>
    <row r="184" spans="1:7" x14ac:dyDescent="0.35">
      <c r="A184" s="25" t="s">
        <v>134</v>
      </c>
      <c r="B184" s="33"/>
      <c r="C184" s="33"/>
      <c r="D184" s="26"/>
      <c r="E184" s="27">
        <v>892725.13</v>
      </c>
      <c r="F184" s="28">
        <v>1</v>
      </c>
      <c r="G184" s="28"/>
    </row>
    <row r="186" spans="1:7" x14ac:dyDescent="0.35">
      <c r="A186" s="1" t="s">
        <v>1400</v>
      </c>
    </row>
    <row r="187" spans="1:7" x14ac:dyDescent="0.35">
      <c r="A187" s="1" t="s">
        <v>135</v>
      </c>
    </row>
    <row r="188" spans="1:7" x14ac:dyDescent="0.35">
      <c r="A188" s="1" t="s">
        <v>136</v>
      </c>
    </row>
    <row r="189" spans="1:7" x14ac:dyDescent="0.35">
      <c r="A189" s="1" t="s">
        <v>1981</v>
      </c>
    </row>
    <row r="190" spans="1:7" x14ac:dyDescent="0.35">
      <c r="A190" s="47" t="s">
        <v>1982</v>
      </c>
      <c r="B190" s="34" t="s">
        <v>96</v>
      </c>
    </row>
    <row r="191" spans="1:7" x14ac:dyDescent="0.35">
      <c r="A191" t="s">
        <v>1983</v>
      </c>
    </row>
    <row r="192" spans="1:7" x14ac:dyDescent="0.35">
      <c r="A192" t="s">
        <v>1984</v>
      </c>
      <c r="B192" t="s">
        <v>1985</v>
      </c>
      <c r="C192" t="s">
        <v>1985</v>
      </c>
    </row>
    <row r="193" spans="1:7" x14ac:dyDescent="0.35">
      <c r="B193" s="48">
        <v>44834</v>
      </c>
      <c r="C193" s="48">
        <v>44865</v>
      </c>
    </row>
    <row r="194" spans="1:7" x14ac:dyDescent="0.35">
      <c r="A194" t="s">
        <v>2034</v>
      </c>
      <c r="B194">
        <v>21.33</v>
      </c>
      <c r="C194">
        <v>21.89</v>
      </c>
      <c r="E194" s="2"/>
      <c r="G194"/>
    </row>
    <row r="195" spans="1:7" x14ac:dyDescent="0.35">
      <c r="A195" t="s">
        <v>1989</v>
      </c>
      <c r="B195">
        <v>39.31</v>
      </c>
      <c r="C195">
        <v>40.33</v>
      </c>
      <c r="E195" s="2"/>
      <c r="G195"/>
    </row>
    <row r="196" spans="1:7" x14ac:dyDescent="0.35">
      <c r="A196" t="s">
        <v>2011</v>
      </c>
      <c r="B196">
        <v>22.66</v>
      </c>
      <c r="C196">
        <v>23.11</v>
      </c>
      <c r="E196" s="2"/>
      <c r="G196"/>
    </row>
    <row r="197" spans="1:7" x14ac:dyDescent="0.35">
      <c r="A197" t="s">
        <v>2035</v>
      </c>
      <c r="B197">
        <v>16.850000000000001</v>
      </c>
      <c r="C197">
        <v>17.27</v>
      </c>
      <c r="E197" s="2"/>
      <c r="G197"/>
    </row>
    <row r="198" spans="1:7" x14ac:dyDescent="0.35">
      <c r="A198" t="s">
        <v>2014</v>
      </c>
      <c r="B198">
        <v>35.75</v>
      </c>
      <c r="C198">
        <v>36.64</v>
      </c>
      <c r="E198" s="2"/>
      <c r="G198"/>
    </row>
    <row r="199" spans="1:7" x14ac:dyDescent="0.35">
      <c r="A199" t="s">
        <v>2016</v>
      </c>
      <c r="B199">
        <v>19.809999999999999</v>
      </c>
      <c r="C199">
        <v>20.149999999999999</v>
      </c>
      <c r="E199" s="2"/>
      <c r="G199"/>
    </row>
    <row r="200" spans="1:7" x14ac:dyDescent="0.35">
      <c r="E200" s="2"/>
      <c r="G200"/>
    </row>
    <row r="201" spans="1:7" x14ac:dyDescent="0.35">
      <c r="A201" s="137" t="s">
        <v>2020</v>
      </c>
      <c r="B201" s="137"/>
      <c r="C201" s="137"/>
      <c r="D201" s="137"/>
    </row>
    <row r="202" spans="1:7" s="137" customFormat="1" x14ac:dyDescent="0.35">
      <c r="G202" s="2"/>
    </row>
    <row r="203" spans="1:7" s="137" customFormat="1" x14ac:dyDescent="0.35">
      <c r="A203" s="149" t="s">
        <v>2021</v>
      </c>
      <c r="B203" s="149" t="s">
        <v>2022</v>
      </c>
      <c r="C203" s="149" t="s">
        <v>2023</v>
      </c>
      <c r="D203" s="149" t="s">
        <v>2024</v>
      </c>
      <c r="G203" s="2"/>
    </row>
    <row r="204" spans="1:7" s="137" customFormat="1" x14ac:dyDescent="0.35">
      <c r="A204" s="149" t="s">
        <v>2149</v>
      </c>
      <c r="B204" s="149"/>
      <c r="C204" s="149">
        <v>0.15</v>
      </c>
      <c r="D204" s="149">
        <v>0.15</v>
      </c>
      <c r="G204" s="2"/>
    </row>
    <row r="205" spans="1:7" s="137" customFormat="1" x14ac:dyDescent="0.35">
      <c r="A205" s="149" t="s">
        <v>2150</v>
      </c>
      <c r="B205" s="149"/>
      <c r="C205" s="149">
        <v>0.15</v>
      </c>
      <c r="D205" s="149">
        <v>0.15</v>
      </c>
      <c r="G205" s="2"/>
    </row>
    <row r="206" spans="1:7" s="137" customFormat="1" x14ac:dyDescent="0.35">
      <c r="B206" s="34"/>
      <c r="G206" s="2"/>
    </row>
    <row r="207" spans="1:7" x14ac:dyDescent="0.35">
      <c r="A207" t="s">
        <v>2001</v>
      </c>
      <c r="B207" s="34" t="s">
        <v>96</v>
      </c>
    </row>
    <row r="208" spans="1:7" ht="29" x14ac:dyDescent="0.35">
      <c r="A208" s="47" t="s">
        <v>2002</v>
      </c>
      <c r="B208" s="34" t="s">
        <v>96</v>
      </c>
    </row>
    <row r="209" spans="1:4" ht="29" x14ac:dyDescent="0.35">
      <c r="A209" s="47" t="s">
        <v>2003</v>
      </c>
      <c r="B209" s="34" t="s">
        <v>96</v>
      </c>
    </row>
    <row r="210" spans="1:4" x14ac:dyDescent="0.35">
      <c r="A210" t="s">
        <v>2033</v>
      </c>
      <c r="B210" s="49">
        <v>3.3333140000000001</v>
      </c>
    </row>
    <row r="211" spans="1:4" ht="43.5" x14ac:dyDescent="0.35">
      <c r="A211" s="47" t="s">
        <v>2005</v>
      </c>
      <c r="B211" s="34">
        <v>26088.949274999999</v>
      </c>
    </row>
    <row r="212" spans="1:4" ht="29" x14ac:dyDescent="0.35">
      <c r="A212" s="47" t="s">
        <v>2006</v>
      </c>
      <c r="B212" s="34" t="s">
        <v>96</v>
      </c>
    </row>
    <row r="213" spans="1:4" ht="29" x14ac:dyDescent="0.35">
      <c r="A213" s="47" t="s">
        <v>2009</v>
      </c>
      <c r="B213" s="34" t="s">
        <v>96</v>
      </c>
    </row>
    <row r="214" spans="1:4" ht="29" x14ac:dyDescent="0.35">
      <c r="A214" s="47" t="s">
        <v>2135</v>
      </c>
      <c r="B214" s="34" t="s">
        <v>96</v>
      </c>
    </row>
    <row r="215" spans="1:4" ht="29" x14ac:dyDescent="0.35">
      <c r="A215" s="47" t="s">
        <v>2136</v>
      </c>
      <c r="B215" s="34" t="s">
        <v>96</v>
      </c>
    </row>
    <row r="217" spans="1:4" ht="29" x14ac:dyDescent="0.35">
      <c r="A217" s="270" t="s">
        <v>2154</v>
      </c>
      <c r="B217" s="271" t="s">
        <v>2155</v>
      </c>
      <c r="C217" s="271" t="s">
        <v>2156</v>
      </c>
      <c r="D217" s="275" t="s">
        <v>2157</v>
      </c>
    </row>
    <row r="218" spans="1:4" ht="71" customHeight="1" x14ac:dyDescent="0.35">
      <c r="A218" s="274" t="s">
        <v>2192</v>
      </c>
      <c r="B218" s="272"/>
      <c r="C218" s="273" t="s">
        <v>2232</v>
      </c>
      <c r="D218" s="272"/>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EC18-146B-469B-9759-AD7893362CAE}">
  <dimension ref="A1:H140"/>
  <sheetViews>
    <sheetView showGridLines="0" workbookViewId="0">
      <pane ySplit="4" topLeftCell="A138" activePane="bottomLeft" state="frozen"/>
      <selection activeCell="A2" sqref="A2:XFD2"/>
      <selection pane="bottomLeft" activeCell="C140" sqref="C140"/>
    </sheetView>
  </sheetViews>
  <sheetFormatPr defaultRowHeight="14.5" x14ac:dyDescent="0.35"/>
  <cols>
    <col min="1" max="1" width="50.453125" customWidth="1"/>
    <col min="2" max="2" width="21.90625" customWidth="1"/>
    <col min="3" max="3" width="26.6328125" customWidth="1"/>
    <col min="4" max="4" width="22.8164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49</v>
      </c>
      <c r="B1" s="151"/>
      <c r="C1" s="151"/>
      <c r="D1" s="151"/>
      <c r="E1" s="151"/>
      <c r="F1" s="151"/>
      <c r="G1" s="151"/>
      <c r="H1" s="50" t="str">
        <f>HYPERLINK("[EDEL_Portfolio Monthly Notes 31-Oct-2022.xlsx]Index!A1","Index")</f>
        <v>Index</v>
      </c>
    </row>
    <row r="2" spans="1:8" ht="31" customHeight="1" x14ac:dyDescent="0.35">
      <c r="A2" s="151" t="s">
        <v>50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344261</v>
      </c>
      <c r="E8" s="14">
        <v>3128.3</v>
      </c>
      <c r="F8" s="15">
        <v>8.3400000000000002E-2</v>
      </c>
      <c r="G8" s="15"/>
    </row>
    <row r="9" spans="1:8" x14ac:dyDescent="0.35">
      <c r="A9" s="12" t="s">
        <v>894</v>
      </c>
      <c r="B9" s="30" t="s">
        <v>895</v>
      </c>
      <c r="C9" s="30" t="s">
        <v>862</v>
      </c>
      <c r="D9" s="13">
        <v>189310</v>
      </c>
      <c r="E9" s="14">
        <v>2833.4</v>
      </c>
      <c r="F9" s="15">
        <v>7.5499999999999998E-2</v>
      </c>
      <c r="G9" s="15"/>
    </row>
    <row r="10" spans="1:8" x14ac:dyDescent="0.35">
      <c r="A10" s="12" t="s">
        <v>863</v>
      </c>
      <c r="B10" s="30" t="s">
        <v>864</v>
      </c>
      <c r="C10" s="30" t="s">
        <v>865</v>
      </c>
      <c r="D10" s="13">
        <v>106290</v>
      </c>
      <c r="E10" s="14">
        <v>2709.97</v>
      </c>
      <c r="F10" s="15">
        <v>7.22E-2</v>
      </c>
      <c r="G10" s="15"/>
    </row>
    <row r="11" spans="1:8" x14ac:dyDescent="0.35">
      <c r="A11" s="12" t="s">
        <v>975</v>
      </c>
      <c r="B11" s="30" t="s">
        <v>976</v>
      </c>
      <c r="C11" s="30" t="s">
        <v>911</v>
      </c>
      <c r="D11" s="13">
        <v>139624</v>
      </c>
      <c r="E11" s="14">
        <v>2146.9299999999998</v>
      </c>
      <c r="F11" s="15">
        <v>5.7200000000000001E-2</v>
      </c>
      <c r="G11" s="15"/>
    </row>
    <row r="12" spans="1:8" x14ac:dyDescent="0.35">
      <c r="A12" s="12" t="s">
        <v>1020</v>
      </c>
      <c r="B12" s="30" t="s">
        <v>1021</v>
      </c>
      <c r="C12" s="30" t="s">
        <v>1022</v>
      </c>
      <c r="D12" s="13">
        <v>82855</v>
      </c>
      <c r="E12" s="14">
        <v>1676.24</v>
      </c>
      <c r="F12" s="15">
        <v>4.4699999999999997E-2</v>
      </c>
      <c r="G12" s="15"/>
    </row>
    <row r="13" spans="1:8" x14ac:dyDescent="0.35">
      <c r="A13" s="12" t="s">
        <v>916</v>
      </c>
      <c r="B13" s="30" t="s">
        <v>917</v>
      </c>
      <c r="C13" s="30" t="s">
        <v>862</v>
      </c>
      <c r="D13" s="13">
        <v>184518</v>
      </c>
      <c r="E13" s="14">
        <v>1671.73</v>
      </c>
      <c r="F13" s="15">
        <v>4.4600000000000001E-2</v>
      </c>
      <c r="G13" s="15"/>
    </row>
    <row r="14" spans="1:8" x14ac:dyDescent="0.35">
      <c r="A14" s="12" t="s">
        <v>961</v>
      </c>
      <c r="B14" s="30" t="s">
        <v>962</v>
      </c>
      <c r="C14" s="30" t="s">
        <v>862</v>
      </c>
      <c r="D14" s="13">
        <v>278018</v>
      </c>
      <c r="E14" s="14">
        <v>1595.27</v>
      </c>
      <c r="F14" s="15">
        <v>4.2500000000000003E-2</v>
      </c>
      <c r="G14" s="15"/>
    </row>
    <row r="15" spans="1:8" x14ac:dyDescent="0.35">
      <c r="A15" s="12" t="s">
        <v>948</v>
      </c>
      <c r="B15" s="30" t="s">
        <v>949</v>
      </c>
      <c r="C15" s="30" t="s">
        <v>950</v>
      </c>
      <c r="D15" s="13">
        <v>434600</v>
      </c>
      <c r="E15" s="14">
        <v>1515.45</v>
      </c>
      <c r="F15" s="15">
        <v>4.0399999999999998E-2</v>
      </c>
      <c r="G15" s="15"/>
    </row>
    <row r="16" spans="1:8" x14ac:dyDescent="0.35">
      <c r="A16" s="12" t="s">
        <v>1143</v>
      </c>
      <c r="B16" s="30" t="s">
        <v>1144</v>
      </c>
      <c r="C16" s="30" t="s">
        <v>950</v>
      </c>
      <c r="D16" s="13">
        <v>35909</v>
      </c>
      <c r="E16" s="14">
        <v>915.93</v>
      </c>
      <c r="F16" s="15">
        <v>2.4400000000000002E-2</v>
      </c>
      <c r="G16" s="15"/>
    </row>
    <row r="17" spans="1:7" x14ac:dyDescent="0.35">
      <c r="A17" s="12" t="s">
        <v>909</v>
      </c>
      <c r="B17" s="30" t="s">
        <v>910</v>
      </c>
      <c r="C17" s="30" t="s">
        <v>911</v>
      </c>
      <c r="D17" s="13">
        <v>87324</v>
      </c>
      <c r="E17" s="14">
        <v>909.17</v>
      </c>
      <c r="F17" s="15">
        <v>2.4199999999999999E-2</v>
      </c>
      <c r="G17" s="15"/>
    </row>
    <row r="18" spans="1:7" x14ac:dyDescent="0.35">
      <c r="A18" s="12" t="s">
        <v>959</v>
      </c>
      <c r="B18" s="30" t="s">
        <v>960</v>
      </c>
      <c r="C18" s="30" t="s">
        <v>885</v>
      </c>
      <c r="D18" s="13">
        <v>11775</v>
      </c>
      <c r="E18" s="14">
        <v>841.22</v>
      </c>
      <c r="F18" s="15">
        <v>2.24E-2</v>
      </c>
      <c r="G18" s="15"/>
    </row>
    <row r="19" spans="1:7" x14ac:dyDescent="0.35">
      <c r="A19" s="12" t="s">
        <v>1042</v>
      </c>
      <c r="B19" s="30" t="s">
        <v>1043</v>
      </c>
      <c r="C19" s="30" t="s">
        <v>943</v>
      </c>
      <c r="D19" s="13">
        <v>79000</v>
      </c>
      <c r="E19" s="14">
        <v>803.35</v>
      </c>
      <c r="F19" s="15">
        <v>2.1399999999999999E-2</v>
      </c>
      <c r="G19" s="15"/>
    </row>
    <row r="20" spans="1:7" x14ac:dyDescent="0.35">
      <c r="A20" s="12" t="s">
        <v>896</v>
      </c>
      <c r="B20" s="30" t="s">
        <v>897</v>
      </c>
      <c r="C20" s="30" t="s">
        <v>898</v>
      </c>
      <c r="D20" s="13">
        <v>6697</v>
      </c>
      <c r="E20" s="14">
        <v>638.05999999999995</v>
      </c>
      <c r="F20" s="15">
        <v>1.7000000000000001E-2</v>
      </c>
      <c r="G20" s="15"/>
    </row>
    <row r="21" spans="1:7" x14ac:dyDescent="0.35">
      <c r="A21" s="12" t="s">
        <v>914</v>
      </c>
      <c r="B21" s="30" t="s">
        <v>915</v>
      </c>
      <c r="C21" s="30" t="s">
        <v>862</v>
      </c>
      <c r="D21" s="13">
        <v>48602</v>
      </c>
      <c r="E21" s="14">
        <v>555.35</v>
      </c>
      <c r="F21" s="15">
        <v>1.4800000000000001E-2</v>
      </c>
      <c r="G21" s="15"/>
    </row>
    <row r="22" spans="1:7" x14ac:dyDescent="0.35">
      <c r="A22" s="12" t="s">
        <v>1124</v>
      </c>
      <c r="B22" s="30" t="s">
        <v>1125</v>
      </c>
      <c r="C22" s="30" t="s">
        <v>898</v>
      </c>
      <c r="D22" s="13">
        <v>40000</v>
      </c>
      <c r="E22" s="14">
        <v>539.44000000000005</v>
      </c>
      <c r="F22" s="15">
        <v>1.44E-2</v>
      </c>
      <c r="G22" s="15"/>
    </row>
    <row r="23" spans="1:7" x14ac:dyDescent="0.35">
      <c r="A23" s="12" t="s">
        <v>883</v>
      </c>
      <c r="B23" s="30" t="s">
        <v>884</v>
      </c>
      <c r="C23" s="30" t="s">
        <v>885</v>
      </c>
      <c r="D23" s="13">
        <v>21548</v>
      </c>
      <c r="E23" s="14">
        <v>532.19000000000005</v>
      </c>
      <c r="F23" s="15">
        <v>1.4200000000000001E-2</v>
      </c>
      <c r="G23" s="15"/>
    </row>
    <row r="24" spans="1:7" x14ac:dyDescent="0.35">
      <c r="A24" s="12" t="s">
        <v>875</v>
      </c>
      <c r="B24" s="30" t="s">
        <v>876</v>
      </c>
      <c r="C24" s="30" t="s">
        <v>877</v>
      </c>
      <c r="D24" s="13">
        <v>19890</v>
      </c>
      <c r="E24" s="14">
        <v>503.23</v>
      </c>
      <c r="F24" s="15">
        <v>1.34E-2</v>
      </c>
      <c r="G24" s="15"/>
    </row>
    <row r="25" spans="1:7" x14ac:dyDescent="0.35">
      <c r="A25" s="12" t="s">
        <v>1106</v>
      </c>
      <c r="B25" s="30" t="s">
        <v>1107</v>
      </c>
      <c r="C25" s="30" t="s">
        <v>983</v>
      </c>
      <c r="D25" s="13">
        <v>38705</v>
      </c>
      <c r="E25" s="14">
        <v>489.99</v>
      </c>
      <c r="F25" s="15">
        <v>1.3100000000000001E-2</v>
      </c>
      <c r="G25" s="15"/>
    </row>
    <row r="26" spans="1:7" x14ac:dyDescent="0.35">
      <c r="A26" s="12" t="s">
        <v>1440</v>
      </c>
      <c r="B26" s="30" t="s">
        <v>1441</v>
      </c>
      <c r="C26" s="30" t="s">
        <v>988</v>
      </c>
      <c r="D26" s="13">
        <v>111158</v>
      </c>
      <c r="E26" s="14">
        <v>488.98</v>
      </c>
      <c r="F26" s="15">
        <v>1.2999999999999999E-2</v>
      </c>
      <c r="G26" s="15"/>
    </row>
    <row r="27" spans="1:7" x14ac:dyDescent="0.35">
      <c r="A27" s="12" t="s">
        <v>1026</v>
      </c>
      <c r="B27" s="30" t="s">
        <v>1027</v>
      </c>
      <c r="C27" s="30" t="s">
        <v>974</v>
      </c>
      <c r="D27" s="13">
        <v>136132</v>
      </c>
      <c r="E27" s="14">
        <v>454.41</v>
      </c>
      <c r="F27" s="15">
        <v>1.21E-2</v>
      </c>
      <c r="G27" s="15"/>
    </row>
    <row r="28" spans="1:7" x14ac:dyDescent="0.35">
      <c r="A28" s="12" t="s">
        <v>918</v>
      </c>
      <c r="B28" s="30" t="s">
        <v>919</v>
      </c>
      <c r="C28" s="30" t="s">
        <v>911</v>
      </c>
      <c r="D28" s="13">
        <v>13804</v>
      </c>
      <c r="E28" s="14">
        <v>440.78</v>
      </c>
      <c r="F28" s="15">
        <v>1.17E-2</v>
      </c>
      <c r="G28" s="15"/>
    </row>
    <row r="29" spans="1:7" x14ac:dyDescent="0.35">
      <c r="A29" s="12" t="s">
        <v>886</v>
      </c>
      <c r="B29" s="30" t="s">
        <v>887</v>
      </c>
      <c r="C29" s="30" t="s">
        <v>888</v>
      </c>
      <c r="D29" s="13">
        <v>59064</v>
      </c>
      <c r="E29" s="14">
        <v>431.29</v>
      </c>
      <c r="F29" s="15">
        <v>1.15E-2</v>
      </c>
      <c r="G29" s="15"/>
    </row>
    <row r="30" spans="1:7" x14ac:dyDescent="0.35">
      <c r="A30" s="12" t="s">
        <v>1110</v>
      </c>
      <c r="B30" s="30" t="s">
        <v>1111</v>
      </c>
      <c r="C30" s="30" t="s">
        <v>898</v>
      </c>
      <c r="D30" s="13">
        <v>37256</v>
      </c>
      <c r="E30" s="14">
        <v>426.97</v>
      </c>
      <c r="F30" s="15">
        <v>1.14E-2</v>
      </c>
      <c r="G30" s="15"/>
    </row>
    <row r="31" spans="1:7" x14ac:dyDescent="0.35">
      <c r="A31" s="12" t="s">
        <v>1507</v>
      </c>
      <c r="B31" s="30" t="s">
        <v>1508</v>
      </c>
      <c r="C31" s="30" t="s">
        <v>1025</v>
      </c>
      <c r="D31" s="13">
        <v>10366</v>
      </c>
      <c r="E31" s="14">
        <v>390.44</v>
      </c>
      <c r="F31" s="15">
        <v>1.04E-2</v>
      </c>
      <c r="G31" s="15"/>
    </row>
    <row r="32" spans="1:7" x14ac:dyDescent="0.35">
      <c r="A32" s="12" t="s">
        <v>1016</v>
      </c>
      <c r="B32" s="30" t="s">
        <v>1017</v>
      </c>
      <c r="C32" s="30" t="s">
        <v>958</v>
      </c>
      <c r="D32" s="13">
        <v>13536</v>
      </c>
      <c r="E32" s="14">
        <v>373.8</v>
      </c>
      <c r="F32" s="15">
        <v>0.01</v>
      </c>
      <c r="G32" s="15"/>
    </row>
    <row r="33" spans="1:7" x14ac:dyDescent="0.35">
      <c r="A33" s="12" t="s">
        <v>1409</v>
      </c>
      <c r="B33" s="30" t="s">
        <v>1410</v>
      </c>
      <c r="C33" s="30" t="s">
        <v>885</v>
      </c>
      <c r="D33" s="13">
        <v>43495</v>
      </c>
      <c r="E33" s="14">
        <v>359.55</v>
      </c>
      <c r="F33" s="15">
        <v>9.5999999999999992E-3</v>
      </c>
      <c r="G33" s="15"/>
    </row>
    <row r="34" spans="1:7" x14ac:dyDescent="0.35">
      <c r="A34" s="12" t="s">
        <v>860</v>
      </c>
      <c r="B34" s="30" t="s">
        <v>861</v>
      </c>
      <c r="C34" s="30" t="s">
        <v>862</v>
      </c>
      <c r="D34" s="13">
        <v>18574</v>
      </c>
      <c r="E34" s="14">
        <v>353.27</v>
      </c>
      <c r="F34" s="15">
        <v>9.4000000000000004E-3</v>
      </c>
      <c r="G34" s="15"/>
    </row>
    <row r="35" spans="1:7" x14ac:dyDescent="0.35">
      <c r="A35" s="12" t="s">
        <v>1432</v>
      </c>
      <c r="B35" s="30" t="s">
        <v>1433</v>
      </c>
      <c r="C35" s="30" t="s">
        <v>911</v>
      </c>
      <c r="D35" s="13">
        <v>4979</v>
      </c>
      <c r="E35" s="14">
        <v>348.32</v>
      </c>
      <c r="F35" s="15">
        <v>9.2999999999999992E-3</v>
      </c>
      <c r="G35" s="15"/>
    </row>
    <row r="36" spans="1:7" x14ac:dyDescent="0.35">
      <c r="A36" s="12" t="s">
        <v>1040</v>
      </c>
      <c r="B36" s="30" t="s">
        <v>1041</v>
      </c>
      <c r="C36" s="30" t="s">
        <v>908</v>
      </c>
      <c r="D36" s="13">
        <v>4977</v>
      </c>
      <c r="E36" s="14">
        <v>334.2</v>
      </c>
      <c r="F36" s="15">
        <v>8.8999999999999999E-3</v>
      </c>
      <c r="G36" s="15"/>
    </row>
    <row r="37" spans="1:7" x14ac:dyDescent="0.35">
      <c r="A37" s="12" t="s">
        <v>923</v>
      </c>
      <c r="B37" s="30" t="s">
        <v>924</v>
      </c>
      <c r="C37" s="30" t="s">
        <v>877</v>
      </c>
      <c r="D37" s="13">
        <v>309438</v>
      </c>
      <c r="E37" s="14">
        <v>330.63</v>
      </c>
      <c r="F37" s="15">
        <v>8.8000000000000005E-3</v>
      </c>
      <c r="G37" s="15"/>
    </row>
    <row r="38" spans="1:7" x14ac:dyDescent="0.35">
      <c r="A38" s="12" t="s">
        <v>880</v>
      </c>
      <c r="B38" s="30" t="s">
        <v>881</v>
      </c>
      <c r="C38" s="30" t="s">
        <v>882</v>
      </c>
      <c r="D38" s="13">
        <v>113765</v>
      </c>
      <c r="E38" s="14">
        <v>298.58</v>
      </c>
      <c r="F38" s="15">
        <v>8.0000000000000002E-3</v>
      </c>
      <c r="G38" s="15"/>
    </row>
    <row r="39" spans="1:7" x14ac:dyDescent="0.35">
      <c r="A39" s="12" t="s">
        <v>1169</v>
      </c>
      <c r="B39" s="30" t="s">
        <v>1170</v>
      </c>
      <c r="C39" s="30" t="s">
        <v>901</v>
      </c>
      <c r="D39" s="13">
        <v>164879</v>
      </c>
      <c r="E39" s="14">
        <v>285.41000000000003</v>
      </c>
      <c r="F39" s="15">
        <v>7.6E-3</v>
      </c>
      <c r="G39" s="15"/>
    </row>
    <row r="40" spans="1:7" x14ac:dyDescent="0.35">
      <c r="A40" s="12" t="s">
        <v>925</v>
      </c>
      <c r="B40" s="30" t="s">
        <v>926</v>
      </c>
      <c r="C40" s="30" t="s">
        <v>911</v>
      </c>
      <c r="D40" s="13">
        <v>25762</v>
      </c>
      <c r="E40" s="14">
        <v>273.95</v>
      </c>
      <c r="F40" s="15">
        <v>7.3000000000000001E-3</v>
      </c>
      <c r="G40" s="15"/>
    </row>
    <row r="41" spans="1:7" x14ac:dyDescent="0.35">
      <c r="A41" s="12" t="s">
        <v>1193</v>
      </c>
      <c r="B41" s="30" t="s">
        <v>1194</v>
      </c>
      <c r="C41" s="30" t="s">
        <v>943</v>
      </c>
      <c r="D41" s="13">
        <v>15805</v>
      </c>
      <c r="E41" s="14">
        <v>260.77999999999997</v>
      </c>
      <c r="F41" s="15">
        <v>6.8999999999999999E-3</v>
      </c>
      <c r="G41" s="15"/>
    </row>
    <row r="42" spans="1:7" x14ac:dyDescent="0.35">
      <c r="A42" s="12" t="s">
        <v>1182</v>
      </c>
      <c r="B42" s="30" t="s">
        <v>1183</v>
      </c>
      <c r="C42" s="30" t="s">
        <v>943</v>
      </c>
      <c r="D42" s="13">
        <v>1332</v>
      </c>
      <c r="E42" s="14">
        <v>256.37</v>
      </c>
      <c r="F42" s="15">
        <v>6.7999999999999996E-3</v>
      </c>
      <c r="G42" s="15"/>
    </row>
    <row r="43" spans="1:7" x14ac:dyDescent="0.35">
      <c r="A43" s="12" t="s">
        <v>1509</v>
      </c>
      <c r="B43" s="30" t="s">
        <v>1510</v>
      </c>
      <c r="C43" s="30" t="s">
        <v>931</v>
      </c>
      <c r="D43" s="13">
        <v>6394</v>
      </c>
      <c r="E43" s="14">
        <v>249.48</v>
      </c>
      <c r="F43" s="15">
        <v>6.6E-3</v>
      </c>
      <c r="G43" s="15"/>
    </row>
    <row r="44" spans="1:7" x14ac:dyDescent="0.35">
      <c r="A44" s="12" t="s">
        <v>1114</v>
      </c>
      <c r="B44" s="30" t="s">
        <v>1115</v>
      </c>
      <c r="C44" s="30" t="s">
        <v>943</v>
      </c>
      <c r="D44" s="13">
        <v>5448</v>
      </c>
      <c r="E44" s="14">
        <v>241.55</v>
      </c>
      <c r="F44" s="15">
        <v>6.4000000000000003E-3</v>
      </c>
      <c r="G44" s="15"/>
    </row>
    <row r="45" spans="1:7" x14ac:dyDescent="0.35">
      <c r="A45" s="12" t="s">
        <v>872</v>
      </c>
      <c r="B45" s="30" t="s">
        <v>873</v>
      </c>
      <c r="C45" s="30" t="s">
        <v>874</v>
      </c>
      <c r="D45" s="13">
        <v>58708</v>
      </c>
      <c r="E45" s="14">
        <v>238.15</v>
      </c>
      <c r="F45" s="15">
        <v>6.3E-3</v>
      </c>
      <c r="G45" s="15"/>
    </row>
    <row r="46" spans="1:7" x14ac:dyDescent="0.35">
      <c r="A46" s="12" t="s">
        <v>1511</v>
      </c>
      <c r="B46" s="30" t="s">
        <v>1512</v>
      </c>
      <c r="C46" s="30" t="s">
        <v>1010</v>
      </c>
      <c r="D46" s="13">
        <v>1647</v>
      </c>
      <c r="E46" s="14">
        <v>232.01</v>
      </c>
      <c r="F46" s="15">
        <v>6.1999999999999998E-3</v>
      </c>
      <c r="G46" s="15"/>
    </row>
    <row r="47" spans="1:7" x14ac:dyDescent="0.35">
      <c r="A47" s="12" t="s">
        <v>1171</v>
      </c>
      <c r="B47" s="30" t="s">
        <v>1172</v>
      </c>
      <c r="C47" s="30" t="s">
        <v>971</v>
      </c>
      <c r="D47" s="13">
        <v>225247</v>
      </c>
      <c r="E47" s="14">
        <v>228.74</v>
      </c>
      <c r="F47" s="15">
        <v>6.1000000000000004E-3</v>
      </c>
      <c r="G47" s="15"/>
    </row>
    <row r="48" spans="1:7" x14ac:dyDescent="0.35">
      <c r="A48" s="12" t="s">
        <v>1176</v>
      </c>
      <c r="B48" s="30" t="s">
        <v>1177</v>
      </c>
      <c r="C48" s="30" t="s">
        <v>865</v>
      </c>
      <c r="D48" s="13">
        <v>75000</v>
      </c>
      <c r="E48" s="14">
        <v>227.74</v>
      </c>
      <c r="F48" s="15">
        <v>6.1000000000000004E-3</v>
      </c>
      <c r="G48" s="15"/>
    </row>
    <row r="49" spans="1:7" x14ac:dyDescent="0.35">
      <c r="A49" s="12" t="s">
        <v>1102</v>
      </c>
      <c r="B49" s="30" t="s">
        <v>1103</v>
      </c>
      <c r="C49" s="30" t="s">
        <v>911</v>
      </c>
      <c r="D49" s="13">
        <v>5921</v>
      </c>
      <c r="E49" s="14">
        <v>218.67</v>
      </c>
      <c r="F49" s="15">
        <v>5.7999999999999996E-3</v>
      </c>
      <c r="G49" s="15"/>
    </row>
    <row r="50" spans="1:7" x14ac:dyDescent="0.35">
      <c r="A50" s="12" t="s">
        <v>1442</v>
      </c>
      <c r="B50" s="30" t="s">
        <v>1443</v>
      </c>
      <c r="C50" s="30" t="s">
        <v>885</v>
      </c>
      <c r="D50" s="13">
        <v>7134</v>
      </c>
      <c r="E50" s="14">
        <v>213.86</v>
      </c>
      <c r="F50" s="15">
        <v>5.7000000000000002E-3</v>
      </c>
      <c r="G50" s="15"/>
    </row>
    <row r="51" spans="1:7" x14ac:dyDescent="0.35">
      <c r="A51" s="12" t="s">
        <v>1184</v>
      </c>
      <c r="B51" s="30" t="s">
        <v>1185</v>
      </c>
      <c r="C51" s="30" t="s">
        <v>1186</v>
      </c>
      <c r="D51" s="13">
        <v>158995</v>
      </c>
      <c r="E51" s="14">
        <v>213.13</v>
      </c>
      <c r="F51" s="15">
        <v>5.7000000000000002E-3</v>
      </c>
      <c r="G51" s="15"/>
    </row>
    <row r="52" spans="1:7" x14ac:dyDescent="0.35">
      <c r="A52" s="12" t="s">
        <v>1403</v>
      </c>
      <c r="B52" s="30" t="s">
        <v>1404</v>
      </c>
      <c r="C52" s="30" t="s">
        <v>995</v>
      </c>
      <c r="D52" s="13">
        <v>216304</v>
      </c>
      <c r="E52" s="14">
        <v>197.49</v>
      </c>
      <c r="F52" s="15">
        <v>5.3E-3</v>
      </c>
      <c r="G52" s="15"/>
    </row>
    <row r="53" spans="1:7" x14ac:dyDescent="0.35">
      <c r="A53" s="12" t="s">
        <v>1129</v>
      </c>
      <c r="B53" s="30" t="s">
        <v>1130</v>
      </c>
      <c r="C53" s="30" t="s">
        <v>995</v>
      </c>
      <c r="D53" s="13">
        <v>95413</v>
      </c>
      <c r="E53" s="14">
        <v>196.12</v>
      </c>
      <c r="F53" s="15">
        <v>5.1999999999999998E-3</v>
      </c>
      <c r="G53" s="15"/>
    </row>
    <row r="54" spans="1:7" x14ac:dyDescent="0.35">
      <c r="A54" s="12" t="s">
        <v>938</v>
      </c>
      <c r="B54" s="30" t="s">
        <v>939</v>
      </c>
      <c r="C54" s="30" t="s">
        <v>940</v>
      </c>
      <c r="D54" s="13">
        <v>14549</v>
      </c>
      <c r="E54" s="14">
        <v>196.11</v>
      </c>
      <c r="F54" s="15">
        <v>5.1999999999999998E-3</v>
      </c>
      <c r="G54" s="15"/>
    </row>
    <row r="55" spans="1:7" x14ac:dyDescent="0.35">
      <c r="A55" s="12" t="s">
        <v>1091</v>
      </c>
      <c r="B55" s="30" t="s">
        <v>1092</v>
      </c>
      <c r="C55" s="30" t="s">
        <v>934</v>
      </c>
      <c r="D55" s="13">
        <v>6154</v>
      </c>
      <c r="E55" s="14">
        <v>187.68</v>
      </c>
      <c r="F55" s="15">
        <v>5.0000000000000001E-3</v>
      </c>
      <c r="G55" s="15"/>
    </row>
    <row r="56" spans="1:7" x14ac:dyDescent="0.35">
      <c r="A56" s="12" t="s">
        <v>1000</v>
      </c>
      <c r="B56" s="30" t="s">
        <v>1001</v>
      </c>
      <c r="C56" s="30" t="s">
        <v>931</v>
      </c>
      <c r="D56" s="13">
        <v>7280</v>
      </c>
      <c r="E56" s="14">
        <v>186.27</v>
      </c>
      <c r="F56" s="15">
        <v>5.0000000000000001E-3</v>
      </c>
      <c r="G56" s="15"/>
    </row>
    <row r="57" spans="1:7" x14ac:dyDescent="0.35">
      <c r="A57" s="12" t="s">
        <v>1067</v>
      </c>
      <c r="B57" s="30" t="s">
        <v>1068</v>
      </c>
      <c r="C57" s="30" t="s">
        <v>885</v>
      </c>
      <c r="D57" s="13">
        <v>180492</v>
      </c>
      <c r="E57" s="14">
        <v>185.09</v>
      </c>
      <c r="F57" s="15">
        <v>4.8999999999999998E-3</v>
      </c>
      <c r="G57" s="15"/>
    </row>
    <row r="58" spans="1:7" x14ac:dyDescent="0.35">
      <c r="A58" s="12" t="s">
        <v>1513</v>
      </c>
      <c r="B58" s="30" t="s">
        <v>1514</v>
      </c>
      <c r="C58" s="30" t="s">
        <v>934</v>
      </c>
      <c r="D58" s="13">
        <v>6225</v>
      </c>
      <c r="E58" s="14">
        <v>182.12</v>
      </c>
      <c r="F58" s="15">
        <v>4.8999999999999998E-3</v>
      </c>
      <c r="G58" s="15"/>
    </row>
    <row r="59" spans="1:7" x14ac:dyDescent="0.35">
      <c r="A59" s="12" t="s">
        <v>1197</v>
      </c>
      <c r="B59" s="30" t="s">
        <v>1198</v>
      </c>
      <c r="C59" s="30" t="s">
        <v>1199</v>
      </c>
      <c r="D59" s="13">
        <v>353</v>
      </c>
      <c r="E59" s="14">
        <v>175.68</v>
      </c>
      <c r="F59" s="15">
        <v>4.7000000000000002E-3</v>
      </c>
      <c r="G59" s="15"/>
    </row>
    <row r="60" spans="1:7" x14ac:dyDescent="0.35">
      <c r="A60" s="12" t="s">
        <v>1085</v>
      </c>
      <c r="B60" s="30" t="s">
        <v>1086</v>
      </c>
      <c r="C60" s="30" t="s">
        <v>983</v>
      </c>
      <c r="D60" s="13">
        <v>149473</v>
      </c>
      <c r="E60" s="14">
        <v>174.66</v>
      </c>
      <c r="F60" s="15">
        <v>4.7000000000000002E-3</v>
      </c>
      <c r="G60" s="15"/>
    </row>
    <row r="61" spans="1:7" x14ac:dyDescent="0.35">
      <c r="A61" s="12" t="s">
        <v>1450</v>
      </c>
      <c r="B61" s="30" t="s">
        <v>1451</v>
      </c>
      <c r="C61" s="30" t="s">
        <v>943</v>
      </c>
      <c r="D61" s="13">
        <v>9707</v>
      </c>
      <c r="E61" s="14">
        <v>173.21</v>
      </c>
      <c r="F61" s="15">
        <v>4.5999999999999999E-3</v>
      </c>
      <c r="G61" s="15"/>
    </row>
    <row r="62" spans="1:7" x14ac:dyDescent="0.35">
      <c r="A62" s="12" t="s">
        <v>1122</v>
      </c>
      <c r="B62" s="30" t="s">
        <v>1123</v>
      </c>
      <c r="C62" s="30" t="s">
        <v>911</v>
      </c>
      <c r="D62" s="13">
        <v>8549</v>
      </c>
      <c r="E62" s="14">
        <v>169.14</v>
      </c>
      <c r="F62" s="15">
        <v>4.4999999999999997E-3</v>
      </c>
      <c r="G62" s="15"/>
    </row>
    <row r="63" spans="1:7" x14ac:dyDescent="0.35">
      <c r="A63" s="12" t="s">
        <v>1011</v>
      </c>
      <c r="B63" s="30" t="s">
        <v>1012</v>
      </c>
      <c r="C63" s="30" t="s">
        <v>888</v>
      </c>
      <c r="D63" s="13">
        <v>16800</v>
      </c>
      <c r="E63" s="14">
        <v>161.66999999999999</v>
      </c>
      <c r="F63" s="15">
        <v>4.3E-3</v>
      </c>
      <c r="G63" s="15"/>
    </row>
    <row r="64" spans="1:7" x14ac:dyDescent="0.35">
      <c r="A64" s="12" t="s">
        <v>1515</v>
      </c>
      <c r="B64" s="30" t="s">
        <v>1516</v>
      </c>
      <c r="C64" s="30" t="s">
        <v>940</v>
      </c>
      <c r="D64" s="13">
        <v>5896</v>
      </c>
      <c r="E64" s="14">
        <v>158.12</v>
      </c>
      <c r="F64" s="15">
        <v>4.1999999999999997E-3</v>
      </c>
      <c r="G64" s="15"/>
    </row>
    <row r="65" spans="1:7" x14ac:dyDescent="0.35">
      <c r="A65" s="12" t="s">
        <v>1023</v>
      </c>
      <c r="B65" s="30" t="s">
        <v>1024</v>
      </c>
      <c r="C65" s="30" t="s">
        <v>1025</v>
      </c>
      <c r="D65" s="13">
        <v>739</v>
      </c>
      <c r="E65" s="14">
        <v>150.49</v>
      </c>
      <c r="F65" s="15">
        <v>4.0000000000000001E-3</v>
      </c>
      <c r="G65" s="15"/>
    </row>
    <row r="66" spans="1:7" x14ac:dyDescent="0.35">
      <c r="A66" s="12" t="s">
        <v>956</v>
      </c>
      <c r="B66" s="30" t="s">
        <v>957</v>
      </c>
      <c r="C66" s="30" t="s">
        <v>958</v>
      </c>
      <c r="D66" s="13">
        <v>25288</v>
      </c>
      <c r="E66" s="14">
        <v>148.13999999999999</v>
      </c>
      <c r="F66" s="15">
        <v>3.8999999999999998E-3</v>
      </c>
      <c r="G66" s="15"/>
    </row>
    <row r="67" spans="1:7" x14ac:dyDescent="0.35">
      <c r="A67" s="12" t="s">
        <v>979</v>
      </c>
      <c r="B67" s="30" t="s">
        <v>980</v>
      </c>
      <c r="C67" s="30" t="s">
        <v>888</v>
      </c>
      <c r="D67" s="13">
        <v>4008</v>
      </c>
      <c r="E67" s="14">
        <v>129.94</v>
      </c>
      <c r="F67" s="15">
        <v>3.5000000000000001E-3</v>
      </c>
      <c r="G67" s="15"/>
    </row>
    <row r="68" spans="1:7" x14ac:dyDescent="0.35">
      <c r="A68" s="12" t="s">
        <v>1517</v>
      </c>
      <c r="B68" s="30" t="s">
        <v>1518</v>
      </c>
      <c r="C68" s="30" t="s">
        <v>943</v>
      </c>
      <c r="D68" s="13">
        <v>8277</v>
      </c>
      <c r="E68" s="14">
        <v>114</v>
      </c>
      <c r="F68" s="15">
        <v>3.0000000000000001E-3</v>
      </c>
      <c r="G68" s="15"/>
    </row>
    <row r="69" spans="1:7" x14ac:dyDescent="0.35">
      <c r="A69" s="12" t="s">
        <v>1519</v>
      </c>
      <c r="B69" s="30" t="s">
        <v>1520</v>
      </c>
      <c r="C69" s="30" t="s">
        <v>901</v>
      </c>
      <c r="D69" s="13">
        <v>49264</v>
      </c>
      <c r="E69" s="14">
        <v>112.4</v>
      </c>
      <c r="F69" s="15">
        <v>3.0000000000000001E-3</v>
      </c>
      <c r="G69" s="15"/>
    </row>
    <row r="70" spans="1:7" x14ac:dyDescent="0.35">
      <c r="A70" s="12" t="s">
        <v>965</v>
      </c>
      <c r="B70" s="30" t="s">
        <v>966</v>
      </c>
      <c r="C70" s="30" t="s">
        <v>901</v>
      </c>
      <c r="D70" s="13">
        <v>22035</v>
      </c>
      <c r="E70" s="14">
        <v>111.13</v>
      </c>
      <c r="F70" s="15">
        <v>3.0000000000000001E-3</v>
      </c>
      <c r="G70" s="15"/>
    </row>
    <row r="71" spans="1:7" x14ac:dyDescent="0.35">
      <c r="A71" s="12" t="s">
        <v>1440</v>
      </c>
      <c r="B71" s="30" t="s">
        <v>1456</v>
      </c>
      <c r="C71" s="30" t="s">
        <v>988</v>
      </c>
      <c r="D71" s="13">
        <v>12899</v>
      </c>
      <c r="E71" s="14">
        <v>107.32</v>
      </c>
      <c r="F71" s="15">
        <v>2.8999999999999998E-3</v>
      </c>
      <c r="G71" s="15"/>
    </row>
    <row r="72" spans="1:7" x14ac:dyDescent="0.35">
      <c r="A72" s="12" t="s">
        <v>1454</v>
      </c>
      <c r="B72" s="30" t="s">
        <v>1455</v>
      </c>
      <c r="C72" s="30" t="s">
        <v>885</v>
      </c>
      <c r="D72" s="13">
        <v>23400</v>
      </c>
      <c r="E72" s="14">
        <v>89.15</v>
      </c>
      <c r="F72" s="15">
        <v>2.3999999999999998E-3</v>
      </c>
      <c r="G72" s="15"/>
    </row>
    <row r="73" spans="1:7" x14ac:dyDescent="0.35">
      <c r="A73" s="12" t="s">
        <v>1137</v>
      </c>
      <c r="B73" s="30" t="s">
        <v>1138</v>
      </c>
      <c r="C73" s="30" t="s">
        <v>898</v>
      </c>
      <c r="D73" s="13">
        <v>1102</v>
      </c>
      <c r="E73" s="14">
        <v>4.55</v>
      </c>
      <c r="F73" s="15">
        <v>1E-4</v>
      </c>
      <c r="G73" s="15"/>
    </row>
    <row r="74" spans="1:7" x14ac:dyDescent="0.35">
      <c r="A74" s="12" t="s">
        <v>1180</v>
      </c>
      <c r="B74" s="30" t="s">
        <v>1181</v>
      </c>
      <c r="C74" s="30" t="s">
        <v>958</v>
      </c>
      <c r="D74" s="13">
        <v>780</v>
      </c>
      <c r="E74" s="14">
        <v>2.83</v>
      </c>
      <c r="F74" s="15">
        <v>1E-4</v>
      </c>
      <c r="G74" s="15"/>
    </row>
    <row r="75" spans="1:7" x14ac:dyDescent="0.35">
      <c r="A75" s="16" t="s">
        <v>102</v>
      </c>
      <c r="B75" s="31"/>
      <c r="C75" s="31"/>
      <c r="D75" s="17"/>
      <c r="E75" s="37">
        <v>35489.589999999997</v>
      </c>
      <c r="F75" s="38">
        <v>0.94579999999999997</v>
      </c>
      <c r="G75" s="20"/>
    </row>
    <row r="76" spans="1:7" x14ac:dyDescent="0.35">
      <c r="A76" s="16" t="s">
        <v>1206</v>
      </c>
      <c r="B76" s="30"/>
      <c r="C76" s="30"/>
      <c r="D76" s="13"/>
      <c r="E76" s="14"/>
      <c r="F76" s="15"/>
      <c r="G76" s="15"/>
    </row>
    <row r="77" spans="1:7" x14ac:dyDescent="0.35">
      <c r="A77" s="16" t="s">
        <v>102</v>
      </c>
      <c r="B77" s="30"/>
      <c r="C77" s="30"/>
      <c r="D77" s="13"/>
      <c r="E77" s="39" t="s">
        <v>96</v>
      </c>
      <c r="F77" s="40" t="s">
        <v>96</v>
      </c>
      <c r="G77" s="15"/>
    </row>
    <row r="78" spans="1:7" x14ac:dyDescent="0.35">
      <c r="A78" s="21" t="s">
        <v>129</v>
      </c>
      <c r="B78" s="32"/>
      <c r="C78" s="32"/>
      <c r="D78" s="22"/>
      <c r="E78" s="27">
        <v>35489.589999999997</v>
      </c>
      <c r="F78" s="28">
        <v>0.94579999999999997</v>
      </c>
      <c r="G78" s="20"/>
    </row>
    <row r="79" spans="1:7" x14ac:dyDescent="0.35">
      <c r="A79" s="12"/>
      <c r="B79" s="30"/>
      <c r="C79" s="30"/>
      <c r="D79" s="13"/>
      <c r="E79" s="14"/>
      <c r="F79" s="15"/>
      <c r="G79" s="15"/>
    </row>
    <row r="80" spans="1:7" x14ac:dyDescent="0.35">
      <c r="A80" s="16" t="s">
        <v>1207</v>
      </c>
      <c r="B80" s="30"/>
      <c r="C80" s="30"/>
      <c r="D80" s="13"/>
      <c r="E80" s="14"/>
      <c r="F80" s="15"/>
      <c r="G80" s="15"/>
    </row>
    <row r="81" spans="1:7" x14ac:dyDescent="0.35">
      <c r="A81" s="16" t="s">
        <v>1208</v>
      </c>
      <c r="B81" s="30"/>
      <c r="C81" s="30"/>
      <c r="D81" s="13"/>
      <c r="E81" s="14"/>
      <c r="F81" s="15"/>
      <c r="G81" s="15"/>
    </row>
    <row r="82" spans="1:7" x14ac:dyDescent="0.35">
      <c r="A82" s="12" t="s">
        <v>1470</v>
      </c>
      <c r="B82" s="30"/>
      <c r="C82" s="30" t="s">
        <v>1471</v>
      </c>
      <c r="D82" s="13">
        <v>3400</v>
      </c>
      <c r="E82" s="14">
        <v>613.74</v>
      </c>
      <c r="F82" s="15">
        <v>1.6355999999999999E-2</v>
      </c>
      <c r="G82" s="15"/>
    </row>
    <row r="83" spans="1:7" x14ac:dyDescent="0.35">
      <c r="A83" s="12" t="s">
        <v>1521</v>
      </c>
      <c r="B83" s="30"/>
      <c r="C83" s="30" t="s">
        <v>1471</v>
      </c>
      <c r="D83" s="13">
        <v>875</v>
      </c>
      <c r="E83" s="14">
        <v>362.83</v>
      </c>
      <c r="F83" s="15">
        <v>9.6690000000000005E-3</v>
      </c>
      <c r="G83" s="15"/>
    </row>
    <row r="84" spans="1:7" x14ac:dyDescent="0.35">
      <c r="A84" s="12" t="s">
        <v>1242</v>
      </c>
      <c r="B84" s="30"/>
      <c r="C84" s="30" t="s">
        <v>898</v>
      </c>
      <c r="D84" s="13">
        <v>58425</v>
      </c>
      <c r="E84" s="14">
        <v>242.32</v>
      </c>
      <c r="F84" s="15">
        <v>6.4570000000000001E-3</v>
      </c>
      <c r="G84" s="15"/>
    </row>
    <row r="85" spans="1:7" x14ac:dyDescent="0.35">
      <c r="A85" s="12" t="s">
        <v>1221</v>
      </c>
      <c r="B85" s="30"/>
      <c r="C85" s="30" t="s">
        <v>958</v>
      </c>
      <c r="D85" s="13">
        <v>52500</v>
      </c>
      <c r="E85" s="14">
        <v>190.81</v>
      </c>
      <c r="F85" s="15">
        <v>5.0850000000000001E-3</v>
      </c>
      <c r="G85" s="15"/>
    </row>
    <row r="86" spans="1:7" x14ac:dyDescent="0.35">
      <c r="A86" s="16" t="s">
        <v>102</v>
      </c>
      <c r="B86" s="31"/>
      <c r="C86" s="31"/>
      <c r="D86" s="17"/>
      <c r="E86" s="37">
        <v>1409.7</v>
      </c>
      <c r="F86" s="38">
        <v>3.7567000000000003E-2</v>
      </c>
      <c r="G86" s="20"/>
    </row>
    <row r="87" spans="1:7" x14ac:dyDescent="0.35">
      <c r="A87" s="12"/>
      <c r="B87" s="30"/>
      <c r="C87" s="30"/>
      <c r="D87" s="13"/>
      <c r="E87" s="14"/>
      <c r="F87" s="15"/>
      <c r="G87" s="15"/>
    </row>
    <row r="88" spans="1:7" x14ac:dyDescent="0.35">
      <c r="A88" s="12"/>
      <c r="B88" s="30"/>
      <c r="C88" s="30"/>
      <c r="D88" s="13"/>
      <c r="E88" s="14"/>
      <c r="F88" s="15"/>
      <c r="G88" s="15"/>
    </row>
    <row r="89" spans="1:7" x14ac:dyDescent="0.35">
      <c r="A89" s="12"/>
      <c r="B89" s="30"/>
      <c r="C89" s="30"/>
      <c r="D89" s="13"/>
      <c r="E89" s="14"/>
      <c r="F89" s="15"/>
      <c r="G89" s="15"/>
    </row>
    <row r="90" spans="1:7" x14ac:dyDescent="0.35">
      <c r="A90" s="21" t="s">
        <v>129</v>
      </c>
      <c r="B90" s="32"/>
      <c r="C90" s="32"/>
      <c r="D90" s="22"/>
      <c r="E90" s="18">
        <v>1409.7</v>
      </c>
      <c r="F90" s="19">
        <v>3.7567000000000003E-2</v>
      </c>
      <c r="G90" s="20"/>
    </row>
    <row r="91" spans="1:7" x14ac:dyDescent="0.35">
      <c r="A91" s="12"/>
      <c r="B91" s="30"/>
      <c r="C91" s="30"/>
      <c r="D91" s="13"/>
      <c r="E91" s="14"/>
      <c r="F91" s="15"/>
      <c r="G91" s="15"/>
    </row>
    <row r="92" spans="1:7" x14ac:dyDescent="0.35">
      <c r="A92" s="16" t="s">
        <v>97</v>
      </c>
      <c r="B92" s="30"/>
      <c r="C92" s="30"/>
      <c r="D92" s="13"/>
      <c r="E92" s="14"/>
      <c r="F92" s="15"/>
      <c r="G92" s="15"/>
    </row>
    <row r="93" spans="1:7" x14ac:dyDescent="0.35">
      <c r="A93" s="12"/>
      <c r="B93" s="30"/>
      <c r="C93" s="30"/>
      <c r="D93" s="13"/>
      <c r="E93" s="14"/>
      <c r="F93" s="15"/>
      <c r="G93" s="15"/>
    </row>
    <row r="94" spans="1:7" x14ac:dyDescent="0.35">
      <c r="A94" s="16" t="s">
        <v>98</v>
      </c>
      <c r="B94" s="30"/>
      <c r="C94" s="30"/>
      <c r="D94" s="13"/>
      <c r="E94" s="14"/>
      <c r="F94" s="15"/>
      <c r="G94" s="15"/>
    </row>
    <row r="95" spans="1:7" x14ac:dyDescent="0.35">
      <c r="A95" s="12" t="s">
        <v>854</v>
      </c>
      <c r="B95" s="30" t="s">
        <v>855</v>
      </c>
      <c r="C95" s="30" t="s">
        <v>101</v>
      </c>
      <c r="D95" s="13">
        <v>300000</v>
      </c>
      <c r="E95" s="14">
        <v>298.87</v>
      </c>
      <c r="F95" s="15">
        <v>8.0000000000000002E-3</v>
      </c>
      <c r="G95" s="15">
        <v>6.0247000000000002E-2</v>
      </c>
    </row>
    <row r="96" spans="1:7" x14ac:dyDescent="0.35">
      <c r="A96" s="12" t="s">
        <v>1394</v>
      </c>
      <c r="B96" s="30" t="s">
        <v>1395</v>
      </c>
      <c r="C96" s="30" t="s">
        <v>101</v>
      </c>
      <c r="D96" s="13">
        <v>200000</v>
      </c>
      <c r="E96" s="14">
        <v>199.47</v>
      </c>
      <c r="F96" s="15">
        <v>5.3E-3</v>
      </c>
      <c r="G96" s="15">
        <v>6.0247000000000002E-2</v>
      </c>
    </row>
    <row r="97" spans="1:7" x14ac:dyDescent="0.35">
      <c r="A97" s="16" t="s">
        <v>102</v>
      </c>
      <c r="B97" s="31"/>
      <c r="C97" s="31"/>
      <c r="D97" s="17"/>
      <c r="E97" s="37">
        <v>498.34</v>
      </c>
      <c r="F97" s="38">
        <v>1.3299999999999999E-2</v>
      </c>
      <c r="G97" s="20"/>
    </row>
    <row r="98" spans="1:7" x14ac:dyDescent="0.35">
      <c r="A98" s="12"/>
      <c r="B98" s="30"/>
      <c r="C98" s="30"/>
      <c r="D98" s="13"/>
      <c r="E98" s="14"/>
      <c r="F98" s="15"/>
      <c r="G98" s="15"/>
    </row>
    <row r="99" spans="1:7" x14ac:dyDescent="0.35">
      <c r="A99" s="21" t="s">
        <v>129</v>
      </c>
      <c r="B99" s="32"/>
      <c r="C99" s="32"/>
      <c r="D99" s="22"/>
      <c r="E99" s="18">
        <v>498.34</v>
      </c>
      <c r="F99" s="19">
        <v>1.3299999999999999E-2</v>
      </c>
      <c r="G99" s="20"/>
    </row>
    <row r="100" spans="1:7" x14ac:dyDescent="0.35">
      <c r="A100" s="12"/>
      <c r="B100" s="30"/>
      <c r="C100" s="30"/>
      <c r="D100" s="13"/>
      <c r="E100" s="14"/>
      <c r="F100" s="15"/>
      <c r="G100" s="15"/>
    </row>
    <row r="101" spans="1:7" x14ac:dyDescent="0.35">
      <c r="A101" s="12"/>
      <c r="B101" s="30"/>
      <c r="C101" s="30"/>
      <c r="D101" s="13"/>
      <c r="E101" s="14"/>
      <c r="F101" s="15"/>
      <c r="G101" s="15"/>
    </row>
    <row r="102" spans="1:7" x14ac:dyDescent="0.35">
      <c r="A102" s="16" t="s">
        <v>130</v>
      </c>
      <c r="B102" s="30"/>
      <c r="C102" s="30"/>
      <c r="D102" s="13"/>
      <c r="E102" s="14"/>
      <c r="F102" s="15"/>
      <c r="G102" s="15"/>
    </row>
    <row r="103" spans="1:7" x14ac:dyDescent="0.35">
      <c r="A103" s="12" t="s">
        <v>131</v>
      </c>
      <c r="B103" s="30"/>
      <c r="C103" s="30"/>
      <c r="D103" s="13"/>
      <c r="E103" s="14">
        <v>1635.73</v>
      </c>
      <c r="F103" s="15">
        <v>4.36E-2</v>
      </c>
      <c r="G103" s="93">
        <v>6.1074000000000003E-2</v>
      </c>
    </row>
    <row r="104" spans="1:7" x14ac:dyDescent="0.35">
      <c r="A104" s="16" t="s">
        <v>102</v>
      </c>
      <c r="B104" s="31"/>
      <c r="C104" s="31"/>
      <c r="D104" s="17"/>
      <c r="E104" s="37">
        <v>1635.73</v>
      </c>
      <c r="F104" s="38">
        <v>4.36E-2</v>
      </c>
      <c r="G104" s="94"/>
    </row>
    <row r="105" spans="1:7" x14ac:dyDescent="0.35">
      <c r="A105" s="12"/>
      <c r="B105" s="30"/>
      <c r="C105" s="30"/>
      <c r="D105" s="13"/>
      <c r="E105" s="14"/>
      <c r="F105" s="15"/>
      <c r="G105" s="93"/>
    </row>
    <row r="106" spans="1:7" x14ac:dyDescent="0.35">
      <c r="A106" s="21" t="s">
        <v>129</v>
      </c>
      <c r="B106" s="32"/>
      <c r="C106" s="32"/>
      <c r="D106" s="22"/>
      <c r="E106" s="18">
        <v>1635.73</v>
      </c>
      <c r="F106" s="19">
        <v>4.36E-2</v>
      </c>
      <c r="G106" s="94"/>
    </row>
    <row r="107" spans="1:7" x14ac:dyDescent="0.35">
      <c r="A107" s="12" t="s">
        <v>132</v>
      </c>
      <c r="B107" s="30"/>
      <c r="C107" s="30"/>
      <c r="D107" s="13"/>
      <c r="E107" s="14">
        <v>0.27369959999999999</v>
      </c>
      <c r="F107" s="15">
        <v>6.9999999999999999E-6</v>
      </c>
      <c r="G107" s="93"/>
    </row>
    <row r="108" spans="1:7" x14ac:dyDescent="0.35">
      <c r="A108" s="12" t="s">
        <v>133</v>
      </c>
      <c r="B108" s="30"/>
      <c r="C108" s="30"/>
      <c r="D108" s="13"/>
      <c r="E108" s="23">
        <v>-100.84369959999999</v>
      </c>
      <c r="F108" s="24">
        <v>-2.7070000000000002E-3</v>
      </c>
      <c r="G108" s="93">
        <v>6.1074000000000003E-2</v>
      </c>
    </row>
    <row r="109" spans="1:7" x14ac:dyDescent="0.35">
      <c r="A109" s="25" t="s">
        <v>134</v>
      </c>
      <c r="B109" s="33"/>
      <c r="C109" s="33"/>
      <c r="D109" s="26"/>
      <c r="E109" s="27">
        <v>37523.089999999997</v>
      </c>
      <c r="F109" s="28">
        <v>1</v>
      </c>
      <c r="G109" s="28"/>
    </row>
    <row r="111" spans="1:7" x14ac:dyDescent="0.35">
      <c r="A111" s="1" t="s">
        <v>1400</v>
      </c>
    </row>
    <row r="114" spans="1:7" x14ac:dyDescent="0.35">
      <c r="A114" s="1" t="s">
        <v>1981</v>
      </c>
    </row>
    <row r="115" spans="1:7" x14ac:dyDescent="0.35">
      <c r="A115" s="47" t="s">
        <v>1982</v>
      </c>
      <c r="B115" s="34" t="s">
        <v>96</v>
      </c>
    </row>
    <row r="116" spans="1:7" x14ac:dyDescent="0.35">
      <c r="A116" t="s">
        <v>1983</v>
      </c>
    </row>
    <row r="117" spans="1:7" x14ac:dyDescent="0.35">
      <c r="A117" t="s">
        <v>1984</v>
      </c>
      <c r="B117" t="s">
        <v>1985</v>
      </c>
      <c r="C117" t="s">
        <v>1985</v>
      </c>
    </row>
    <row r="118" spans="1:7" x14ac:dyDescent="0.35">
      <c r="B118" s="48">
        <v>44834</v>
      </c>
      <c r="C118" s="48">
        <v>44865</v>
      </c>
    </row>
    <row r="119" spans="1:7" x14ac:dyDescent="0.35">
      <c r="A119" t="s">
        <v>1989</v>
      </c>
      <c r="B119">
        <v>58.89</v>
      </c>
      <c r="C119">
        <v>61.92</v>
      </c>
      <c r="E119" s="2"/>
      <c r="G119"/>
    </row>
    <row r="120" spans="1:7" x14ac:dyDescent="0.35">
      <c r="A120" t="s">
        <v>1990</v>
      </c>
      <c r="B120">
        <v>27.7</v>
      </c>
      <c r="C120">
        <v>29.13</v>
      </c>
      <c r="E120" s="2"/>
      <c r="G120"/>
    </row>
    <row r="121" spans="1:7" x14ac:dyDescent="0.35">
      <c r="A121" t="s">
        <v>2036</v>
      </c>
      <c r="B121">
        <v>53.85</v>
      </c>
      <c r="C121">
        <v>56.56</v>
      </c>
      <c r="E121" s="2"/>
      <c r="G121"/>
    </row>
    <row r="122" spans="1:7" x14ac:dyDescent="0.35">
      <c r="A122" t="s">
        <v>2037</v>
      </c>
      <c r="B122">
        <v>54.49</v>
      </c>
      <c r="C122">
        <v>57.23</v>
      </c>
      <c r="E122" s="2"/>
      <c r="G122"/>
    </row>
    <row r="123" spans="1:7" x14ac:dyDescent="0.35">
      <c r="A123" t="s">
        <v>2038</v>
      </c>
      <c r="B123">
        <v>53.15</v>
      </c>
      <c r="C123">
        <v>55.82</v>
      </c>
      <c r="E123" s="2"/>
      <c r="G123"/>
    </row>
    <row r="124" spans="1:7" x14ac:dyDescent="0.35">
      <c r="A124" t="s">
        <v>2039</v>
      </c>
      <c r="B124">
        <v>43.44</v>
      </c>
      <c r="C124">
        <v>45.63</v>
      </c>
      <c r="E124" s="2"/>
      <c r="G124"/>
    </row>
    <row r="125" spans="1:7" x14ac:dyDescent="0.35">
      <c r="A125" t="s">
        <v>2014</v>
      </c>
      <c r="B125">
        <v>53.54</v>
      </c>
      <c r="C125">
        <v>56.23</v>
      </c>
      <c r="E125" s="2"/>
      <c r="G125"/>
    </row>
    <row r="126" spans="1:7" x14ac:dyDescent="0.35">
      <c r="A126" t="s">
        <v>2015</v>
      </c>
      <c r="B126">
        <v>21.45</v>
      </c>
      <c r="C126">
        <v>22.52</v>
      </c>
      <c r="E126" s="2"/>
      <c r="G126"/>
    </row>
    <row r="127" spans="1:7" x14ac:dyDescent="0.35">
      <c r="E127" s="2"/>
      <c r="G127"/>
    </row>
    <row r="128" spans="1:7" x14ac:dyDescent="0.35">
      <c r="A128" t="s">
        <v>2000</v>
      </c>
      <c r="B128" s="34" t="s">
        <v>96</v>
      </c>
    </row>
    <row r="129" spans="1:4" x14ac:dyDescent="0.35">
      <c r="A129" t="s">
        <v>2001</v>
      </c>
      <c r="B129" s="34" t="s">
        <v>96</v>
      </c>
    </row>
    <row r="130" spans="1:4" ht="29" x14ac:dyDescent="0.35">
      <c r="A130" s="47" t="s">
        <v>2002</v>
      </c>
      <c r="B130" s="34" t="s">
        <v>96</v>
      </c>
    </row>
    <row r="131" spans="1:4" ht="29" x14ac:dyDescent="0.35">
      <c r="A131" s="47" t="s">
        <v>2003</v>
      </c>
      <c r="B131" s="34" t="s">
        <v>96</v>
      </c>
    </row>
    <row r="132" spans="1:4" x14ac:dyDescent="0.35">
      <c r="A132" t="s">
        <v>2033</v>
      </c>
      <c r="B132" s="49">
        <v>2.0906099999999999</v>
      </c>
    </row>
    <row r="133" spans="1:4" ht="43.5" x14ac:dyDescent="0.35">
      <c r="A133" s="47" t="s">
        <v>2005</v>
      </c>
      <c r="B133" s="34">
        <v>1409.6991375</v>
      </c>
    </row>
    <row r="134" spans="1:4" ht="29" x14ac:dyDescent="0.35">
      <c r="A134" s="47" t="s">
        <v>2006</v>
      </c>
      <c r="B134" s="34" t="s">
        <v>96</v>
      </c>
    </row>
    <row r="135" spans="1:4" ht="29" x14ac:dyDescent="0.35">
      <c r="A135" s="47" t="s">
        <v>2009</v>
      </c>
      <c r="B135" s="34" t="s">
        <v>96</v>
      </c>
    </row>
    <row r="136" spans="1:4" ht="29" x14ac:dyDescent="0.35">
      <c r="A136" s="47" t="s">
        <v>2135</v>
      </c>
      <c r="B136" s="34" t="s">
        <v>96</v>
      </c>
    </row>
    <row r="137" spans="1:4" ht="29" x14ac:dyDescent="0.35">
      <c r="A137" s="47" t="s">
        <v>2136</v>
      </c>
      <c r="B137" s="34" t="s">
        <v>96</v>
      </c>
    </row>
    <row r="139" spans="1:4" ht="29" x14ac:dyDescent="0.35">
      <c r="A139" s="276" t="s">
        <v>2154</v>
      </c>
      <c r="B139" s="277" t="s">
        <v>2155</v>
      </c>
      <c r="C139" s="277" t="s">
        <v>2156</v>
      </c>
      <c r="D139" s="280" t="s">
        <v>2157</v>
      </c>
    </row>
    <row r="140" spans="1:4" ht="70.5" customHeight="1" x14ac:dyDescent="0.35">
      <c r="A140" s="279" t="s">
        <v>2193</v>
      </c>
      <c r="B140" s="278"/>
      <c r="C140" s="278" t="s">
        <v>2233</v>
      </c>
      <c r="D140" s="27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1693E-2264-44CE-B90D-74164FA97411}">
  <dimension ref="A1:H103"/>
  <sheetViews>
    <sheetView showGridLines="0" workbookViewId="0">
      <pane ySplit="4" topLeftCell="A102" activePane="bottomLeft" state="frozen"/>
      <selection activeCell="A2" sqref="A2:XFD2"/>
      <selection pane="bottomLeft" activeCell="D103" sqref="D103"/>
    </sheetView>
  </sheetViews>
  <sheetFormatPr defaultRowHeight="14.5" x14ac:dyDescent="0.35"/>
  <cols>
    <col min="1" max="1" width="50.453125" customWidth="1"/>
    <col min="2" max="2" width="22.08984375" customWidth="1"/>
    <col min="3" max="3" width="26.6328125" customWidth="1"/>
    <col min="4" max="4" width="22.089843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51</v>
      </c>
      <c r="B1" s="151"/>
      <c r="C1" s="151"/>
      <c r="D1" s="151"/>
      <c r="E1" s="151"/>
      <c r="F1" s="151"/>
      <c r="G1" s="151"/>
      <c r="H1" s="50" t="str">
        <f>HYPERLINK("[EDEL_Portfolio Monthly Notes 31-Oct-2022.xlsx]Index!A1","Index")</f>
        <v>Index</v>
      </c>
    </row>
    <row r="2" spans="1:8" ht="31" customHeight="1" x14ac:dyDescent="0.35">
      <c r="A2" s="151" t="s">
        <v>52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1055860</v>
      </c>
      <c r="E8" s="14">
        <v>9594.6</v>
      </c>
      <c r="F8" s="15">
        <v>8.9300000000000004E-2</v>
      </c>
      <c r="G8" s="15"/>
    </row>
    <row r="9" spans="1:8" x14ac:dyDescent="0.35">
      <c r="A9" s="12" t="s">
        <v>975</v>
      </c>
      <c r="B9" s="30" t="s">
        <v>976</v>
      </c>
      <c r="C9" s="30" t="s">
        <v>911</v>
      </c>
      <c r="D9" s="13">
        <v>433863</v>
      </c>
      <c r="E9" s="14">
        <v>6671.29</v>
      </c>
      <c r="F9" s="15">
        <v>6.2100000000000002E-2</v>
      </c>
      <c r="G9" s="15"/>
    </row>
    <row r="10" spans="1:8" x14ac:dyDescent="0.35">
      <c r="A10" s="12" t="s">
        <v>894</v>
      </c>
      <c r="B10" s="30" t="s">
        <v>895</v>
      </c>
      <c r="C10" s="30" t="s">
        <v>862</v>
      </c>
      <c r="D10" s="13">
        <v>396350</v>
      </c>
      <c r="E10" s="14">
        <v>5932.17</v>
      </c>
      <c r="F10" s="15">
        <v>5.5199999999999999E-2</v>
      </c>
      <c r="G10" s="15"/>
    </row>
    <row r="11" spans="1:8" x14ac:dyDescent="0.35">
      <c r="A11" s="12" t="s">
        <v>961</v>
      </c>
      <c r="B11" s="30" t="s">
        <v>962</v>
      </c>
      <c r="C11" s="30" t="s">
        <v>862</v>
      </c>
      <c r="D11" s="13">
        <v>939916</v>
      </c>
      <c r="E11" s="14">
        <v>5393.24</v>
      </c>
      <c r="F11" s="15">
        <v>5.0200000000000002E-2</v>
      </c>
      <c r="G11" s="15"/>
    </row>
    <row r="12" spans="1:8" x14ac:dyDescent="0.35">
      <c r="A12" s="12" t="s">
        <v>863</v>
      </c>
      <c r="B12" s="30" t="s">
        <v>864</v>
      </c>
      <c r="C12" s="30" t="s">
        <v>865</v>
      </c>
      <c r="D12" s="13">
        <v>209413</v>
      </c>
      <c r="E12" s="14">
        <v>5339.19</v>
      </c>
      <c r="F12" s="15">
        <v>4.9700000000000001E-2</v>
      </c>
      <c r="G12" s="15"/>
    </row>
    <row r="13" spans="1:8" x14ac:dyDescent="0.35">
      <c r="A13" s="12" t="s">
        <v>916</v>
      </c>
      <c r="B13" s="30" t="s">
        <v>917</v>
      </c>
      <c r="C13" s="30" t="s">
        <v>862</v>
      </c>
      <c r="D13" s="13">
        <v>549954</v>
      </c>
      <c r="E13" s="14">
        <v>4982.58</v>
      </c>
      <c r="F13" s="15">
        <v>4.6399999999999997E-2</v>
      </c>
      <c r="G13" s="15"/>
    </row>
    <row r="14" spans="1:8" x14ac:dyDescent="0.35">
      <c r="A14" s="12" t="s">
        <v>959</v>
      </c>
      <c r="B14" s="30" t="s">
        <v>960</v>
      </c>
      <c r="C14" s="30" t="s">
        <v>885</v>
      </c>
      <c r="D14" s="13">
        <v>48430</v>
      </c>
      <c r="E14" s="14">
        <v>3459.89</v>
      </c>
      <c r="F14" s="15">
        <v>3.2199999999999999E-2</v>
      </c>
      <c r="G14" s="15"/>
    </row>
    <row r="15" spans="1:8" x14ac:dyDescent="0.35">
      <c r="A15" s="12" t="s">
        <v>1440</v>
      </c>
      <c r="B15" s="30" t="s">
        <v>1456</v>
      </c>
      <c r="C15" s="30" t="s">
        <v>988</v>
      </c>
      <c r="D15" s="13">
        <v>370424</v>
      </c>
      <c r="E15" s="14">
        <v>3081.93</v>
      </c>
      <c r="F15" s="15">
        <v>2.87E-2</v>
      </c>
      <c r="G15" s="15"/>
    </row>
    <row r="16" spans="1:8" x14ac:dyDescent="0.35">
      <c r="A16" s="12" t="s">
        <v>948</v>
      </c>
      <c r="B16" s="30" t="s">
        <v>949</v>
      </c>
      <c r="C16" s="30" t="s">
        <v>950</v>
      </c>
      <c r="D16" s="13">
        <v>869085</v>
      </c>
      <c r="E16" s="14">
        <v>3030.5</v>
      </c>
      <c r="F16" s="15">
        <v>2.8199999999999999E-2</v>
      </c>
      <c r="G16" s="15"/>
    </row>
    <row r="17" spans="1:7" x14ac:dyDescent="0.35">
      <c r="A17" s="12" t="s">
        <v>896</v>
      </c>
      <c r="B17" s="30" t="s">
        <v>897</v>
      </c>
      <c r="C17" s="30" t="s">
        <v>898</v>
      </c>
      <c r="D17" s="13">
        <v>31525</v>
      </c>
      <c r="E17" s="14">
        <v>3003.58</v>
      </c>
      <c r="F17" s="15">
        <v>2.7900000000000001E-2</v>
      </c>
      <c r="G17" s="15"/>
    </row>
    <row r="18" spans="1:7" x14ac:dyDescent="0.35">
      <c r="A18" s="12" t="s">
        <v>1020</v>
      </c>
      <c r="B18" s="30" t="s">
        <v>1021</v>
      </c>
      <c r="C18" s="30" t="s">
        <v>1022</v>
      </c>
      <c r="D18" s="13">
        <v>147912</v>
      </c>
      <c r="E18" s="14">
        <v>2992.41</v>
      </c>
      <c r="F18" s="15">
        <v>2.7799999999999998E-2</v>
      </c>
      <c r="G18" s="15"/>
    </row>
    <row r="19" spans="1:7" x14ac:dyDescent="0.35">
      <c r="A19" s="12" t="s">
        <v>938</v>
      </c>
      <c r="B19" s="30" t="s">
        <v>939</v>
      </c>
      <c r="C19" s="30" t="s">
        <v>940</v>
      </c>
      <c r="D19" s="13">
        <v>212634</v>
      </c>
      <c r="E19" s="14">
        <v>2866.09</v>
      </c>
      <c r="F19" s="15">
        <v>2.6700000000000002E-2</v>
      </c>
      <c r="G19" s="15"/>
    </row>
    <row r="20" spans="1:7" x14ac:dyDescent="0.35">
      <c r="A20" s="12" t="s">
        <v>1091</v>
      </c>
      <c r="B20" s="30" t="s">
        <v>1092</v>
      </c>
      <c r="C20" s="30" t="s">
        <v>934</v>
      </c>
      <c r="D20" s="13">
        <v>82877</v>
      </c>
      <c r="E20" s="14">
        <v>2527.54</v>
      </c>
      <c r="F20" s="15">
        <v>2.35E-2</v>
      </c>
      <c r="G20" s="15"/>
    </row>
    <row r="21" spans="1:7" x14ac:dyDescent="0.35">
      <c r="A21" s="12" t="s">
        <v>883</v>
      </c>
      <c r="B21" s="30" t="s">
        <v>884</v>
      </c>
      <c r="C21" s="30" t="s">
        <v>885</v>
      </c>
      <c r="D21" s="13">
        <v>89883</v>
      </c>
      <c r="E21" s="14">
        <v>2219.9299999999998</v>
      </c>
      <c r="F21" s="15">
        <v>2.07E-2</v>
      </c>
      <c r="G21" s="15"/>
    </row>
    <row r="22" spans="1:7" x14ac:dyDescent="0.35">
      <c r="A22" s="12" t="s">
        <v>1143</v>
      </c>
      <c r="B22" s="30" t="s">
        <v>1144</v>
      </c>
      <c r="C22" s="30" t="s">
        <v>950</v>
      </c>
      <c r="D22" s="13">
        <v>80003</v>
      </c>
      <c r="E22" s="14">
        <v>2040.64</v>
      </c>
      <c r="F22" s="15">
        <v>1.9E-2</v>
      </c>
      <c r="G22" s="15"/>
    </row>
    <row r="23" spans="1:7" x14ac:dyDescent="0.35">
      <c r="A23" s="12" t="s">
        <v>1042</v>
      </c>
      <c r="B23" s="30" t="s">
        <v>1043</v>
      </c>
      <c r="C23" s="30" t="s">
        <v>943</v>
      </c>
      <c r="D23" s="13">
        <v>199104</v>
      </c>
      <c r="E23" s="14">
        <v>2024.69</v>
      </c>
      <c r="F23" s="15">
        <v>1.8800000000000001E-2</v>
      </c>
      <c r="G23" s="15"/>
    </row>
    <row r="24" spans="1:7" x14ac:dyDescent="0.35">
      <c r="A24" s="12" t="s">
        <v>1137</v>
      </c>
      <c r="B24" s="30" t="s">
        <v>1138</v>
      </c>
      <c r="C24" s="30" t="s">
        <v>898</v>
      </c>
      <c r="D24" s="13">
        <v>469310</v>
      </c>
      <c r="E24" s="14">
        <v>1937.08</v>
      </c>
      <c r="F24" s="15">
        <v>1.7999999999999999E-2</v>
      </c>
      <c r="G24" s="15"/>
    </row>
    <row r="25" spans="1:7" x14ac:dyDescent="0.35">
      <c r="A25" s="12" t="s">
        <v>923</v>
      </c>
      <c r="B25" s="30" t="s">
        <v>924</v>
      </c>
      <c r="C25" s="30" t="s">
        <v>877</v>
      </c>
      <c r="D25" s="13">
        <v>1680690</v>
      </c>
      <c r="E25" s="14">
        <v>1795.82</v>
      </c>
      <c r="F25" s="15">
        <v>1.67E-2</v>
      </c>
      <c r="G25" s="15"/>
    </row>
    <row r="26" spans="1:7" x14ac:dyDescent="0.35">
      <c r="A26" s="12" t="s">
        <v>1046</v>
      </c>
      <c r="B26" s="30" t="s">
        <v>1047</v>
      </c>
      <c r="C26" s="30" t="s">
        <v>1048</v>
      </c>
      <c r="D26" s="13">
        <v>112844</v>
      </c>
      <c r="E26" s="14">
        <v>1724.14</v>
      </c>
      <c r="F26" s="15">
        <v>1.6E-2</v>
      </c>
      <c r="G26" s="15"/>
    </row>
    <row r="27" spans="1:7" x14ac:dyDescent="0.35">
      <c r="A27" s="12" t="s">
        <v>1106</v>
      </c>
      <c r="B27" s="30" t="s">
        <v>1107</v>
      </c>
      <c r="C27" s="30" t="s">
        <v>983</v>
      </c>
      <c r="D27" s="13">
        <v>132169</v>
      </c>
      <c r="E27" s="14">
        <v>1673.19</v>
      </c>
      <c r="F27" s="15">
        <v>1.5599999999999999E-2</v>
      </c>
      <c r="G27" s="15"/>
    </row>
    <row r="28" spans="1:7" x14ac:dyDescent="0.35">
      <c r="A28" s="12" t="s">
        <v>1087</v>
      </c>
      <c r="B28" s="30" t="s">
        <v>1088</v>
      </c>
      <c r="C28" s="30" t="s">
        <v>931</v>
      </c>
      <c r="D28" s="13">
        <v>36659</v>
      </c>
      <c r="E28" s="14">
        <v>1668.63</v>
      </c>
      <c r="F28" s="15">
        <v>1.55E-2</v>
      </c>
      <c r="G28" s="15"/>
    </row>
    <row r="29" spans="1:7" x14ac:dyDescent="0.35">
      <c r="A29" s="12" t="s">
        <v>1040</v>
      </c>
      <c r="B29" s="30" t="s">
        <v>1041</v>
      </c>
      <c r="C29" s="30" t="s">
        <v>908</v>
      </c>
      <c r="D29" s="13">
        <v>24115</v>
      </c>
      <c r="E29" s="14">
        <v>1619.31</v>
      </c>
      <c r="F29" s="15">
        <v>1.5100000000000001E-2</v>
      </c>
      <c r="G29" s="15"/>
    </row>
    <row r="30" spans="1:7" x14ac:dyDescent="0.35">
      <c r="A30" s="12" t="s">
        <v>989</v>
      </c>
      <c r="B30" s="30" t="s">
        <v>990</v>
      </c>
      <c r="C30" s="30" t="s">
        <v>885</v>
      </c>
      <c r="D30" s="13">
        <v>226116</v>
      </c>
      <c r="E30" s="14">
        <v>1603.95</v>
      </c>
      <c r="F30" s="15">
        <v>1.49E-2</v>
      </c>
      <c r="G30" s="15"/>
    </row>
    <row r="31" spans="1:7" x14ac:dyDescent="0.35">
      <c r="A31" s="12" t="s">
        <v>1421</v>
      </c>
      <c r="B31" s="30" t="s">
        <v>1422</v>
      </c>
      <c r="C31" s="30" t="s">
        <v>1015</v>
      </c>
      <c r="D31" s="13">
        <v>312928</v>
      </c>
      <c r="E31" s="14">
        <v>1563.23</v>
      </c>
      <c r="F31" s="15">
        <v>1.4500000000000001E-2</v>
      </c>
      <c r="G31" s="15"/>
    </row>
    <row r="32" spans="1:7" x14ac:dyDescent="0.35">
      <c r="A32" s="12" t="s">
        <v>918</v>
      </c>
      <c r="B32" s="30" t="s">
        <v>919</v>
      </c>
      <c r="C32" s="30" t="s">
        <v>911</v>
      </c>
      <c r="D32" s="13">
        <v>46691</v>
      </c>
      <c r="E32" s="14">
        <v>1490.91</v>
      </c>
      <c r="F32" s="15">
        <v>1.3899999999999999E-2</v>
      </c>
      <c r="G32" s="15"/>
    </row>
    <row r="33" spans="1:7" x14ac:dyDescent="0.35">
      <c r="A33" s="12" t="s">
        <v>1522</v>
      </c>
      <c r="B33" s="30" t="s">
        <v>1523</v>
      </c>
      <c r="C33" s="30" t="s">
        <v>943</v>
      </c>
      <c r="D33" s="13">
        <v>127466</v>
      </c>
      <c r="E33" s="14">
        <v>1488.04</v>
      </c>
      <c r="F33" s="15">
        <v>1.38E-2</v>
      </c>
      <c r="G33" s="15"/>
    </row>
    <row r="34" spans="1:7" x14ac:dyDescent="0.35">
      <c r="A34" s="12" t="s">
        <v>1124</v>
      </c>
      <c r="B34" s="30" t="s">
        <v>1125</v>
      </c>
      <c r="C34" s="30" t="s">
        <v>898</v>
      </c>
      <c r="D34" s="13">
        <v>90395</v>
      </c>
      <c r="E34" s="14">
        <v>1219.07</v>
      </c>
      <c r="F34" s="15">
        <v>1.1299999999999999E-2</v>
      </c>
      <c r="G34" s="15"/>
    </row>
    <row r="35" spans="1:7" x14ac:dyDescent="0.35">
      <c r="A35" s="12" t="s">
        <v>1016</v>
      </c>
      <c r="B35" s="30" t="s">
        <v>1017</v>
      </c>
      <c r="C35" s="30" t="s">
        <v>958</v>
      </c>
      <c r="D35" s="13">
        <v>39645</v>
      </c>
      <c r="E35" s="14">
        <v>1094.8</v>
      </c>
      <c r="F35" s="15">
        <v>1.0200000000000001E-2</v>
      </c>
      <c r="G35" s="15"/>
    </row>
    <row r="36" spans="1:7" x14ac:dyDescent="0.35">
      <c r="A36" s="12" t="s">
        <v>979</v>
      </c>
      <c r="B36" s="30" t="s">
        <v>980</v>
      </c>
      <c r="C36" s="30" t="s">
        <v>888</v>
      </c>
      <c r="D36" s="13">
        <v>33747</v>
      </c>
      <c r="E36" s="14">
        <v>1094.06</v>
      </c>
      <c r="F36" s="15">
        <v>1.0200000000000001E-2</v>
      </c>
      <c r="G36" s="15"/>
    </row>
    <row r="37" spans="1:7" x14ac:dyDescent="0.35">
      <c r="A37" s="12" t="s">
        <v>1114</v>
      </c>
      <c r="B37" s="30" t="s">
        <v>1115</v>
      </c>
      <c r="C37" s="30" t="s">
        <v>943</v>
      </c>
      <c r="D37" s="13">
        <v>24163</v>
      </c>
      <c r="E37" s="14">
        <v>1071.31</v>
      </c>
      <c r="F37" s="15">
        <v>0.01</v>
      </c>
      <c r="G37" s="15"/>
    </row>
    <row r="38" spans="1:7" x14ac:dyDescent="0.35">
      <c r="A38" s="12" t="s">
        <v>1038</v>
      </c>
      <c r="B38" s="30" t="s">
        <v>1039</v>
      </c>
      <c r="C38" s="30" t="s">
        <v>1015</v>
      </c>
      <c r="D38" s="13">
        <v>110385</v>
      </c>
      <c r="E38" s="14">
        <v>1020.67</v>
      </c>
      <c r="F38" s="15">
        <v>9.4999999999999998E-3</v>
      </c>
      <c r="G38" s="15"/>
    </row>
    <row r="39" spans="1:7" x14ac:dyDescent="0.35">
      <c r="A39" s="12" t="s">
        <v>1419</v>
      </c>
      <c r="B39" s="30" t="s">
        <v>1420</v>
      </c>
      <c r="C39" s="30" t="s">
        <v>885</v>
      </c>
      <c r="D39" s="13">
        <v>103085</v>
      </c>
      <c r="E39" s="14">
        <v>1005.28</v>
      </c>
      <c r="F39" s="15">
        <v>9.4000000000000004E-3</v>
      </c>
      <c r="G39" s="15"/>
    </row>
    <row r="40" spans="1:7" x14ac:dyDescent="0.35">
      <c r="A40" s="12" t="s">
        <v>1423</v>
      </c>
      <c r="B40" s="30" t="s">
        <v>1424</v>
      </c>
      <c r="C40" s="30" t="s">
        <v>958</v>
      </c>
      <c r="D40" s="13">
        <v>90344</v>
      </c>
      <c r="E40" s="14">
        <v>976.84</v>
      </c>
      <c r="F40" s="15">
        <v>9.1000000000000004E-3</v>
      </c>
      <c r="G40" s="15"/>
    </row>
    <row r="41" spans="1:7" x14ac:dyDescent="0.35">
      <c r="A41" s="12" t="s">
        <v>1524</v>
      </c>
      <c r="B41" s="30" t="s">
        <v>1525</v>
      </c>
      <c r="C41" s="30" t="s">
        <v>898</v>
      </c>
      <c r="D41" s="13">
        <v>36445</v>
      </c>
      <c r="E41" s="14">
        <v>975.58</v>
      </c>
      <c r="F41" s="15">
        <v>9.1000000000000004E-3</v>
      </c>
      <c r="G41" s="15"/>
    </row>
    <row r="42" spans="1:7" x14ac:dyDescent="0.35">
      <c r="A42" s="12" t="s">
        <v>1411</v>
      </c>
      <c r="B42" s="30" t="s">
        <v>1412</v>
      </c>
      <c r="C42" s="30" t="s">
        <v>953</v>
      </c>
      <c r="D42" s="13">
        <v>180889</v>
      </c>
      <c r="E42" s="14">
        <v>970.83</v>
      </c>
      <c r="F42" s="15">
        <v>8.9999999999999993E-3</v>
      </c>
      <c r="G42" s="15"/>
    </row>
    <row r="43" spans="1:7" x14ac:dyDescent="0.35">
      <c r="A43" s="12" t="s">
        <v>1180</v>
      </c>
      <c r="B43" s="30" t="s">
        <v>1181</v>
      </c>
      <c r="C43" s="30" t="s">
        <v>958</v>
      </c>
      <c r="D43" s="13">
        <v>249397</v>
      </c>
      <c r="E43" s="14">
        <v>903.57</v>
      </c>
      <c r="F43" s="15">
        <v>8.3999999999999995E-3</v>
      </c>
      <c r="G43" s="15"/>
    </row>
    <row r="44" spans="1:7" x14ac:dyDescent="0.35">
      <c r="A44" s="12" t="s">
        <v>1425</v>
      </c>
      <c r="B44" s="30" t="s">
        <v>1426</v>
      </c>
      <c r="C44" s="30" t="s">
        <v>974</v>
      </c>
      <c r="D44" s="13">
        <v>120338</v>
      </c>
      <c r="E44" s="14">
        <v>899.89</v>
      </c>
      <c r="F44" s="15">
        <v>8.3999999999999995E-3</v>
      </c>
      <c r="G44" s="15"/>
    </row>
    <row r="45" spans="1:7" x14ac:dyDescent="0.35">
      <c r="A45" s="12" t="s">
        <v>1526</v>
      </c>
      <c r="B45" s="30" t="s">
        <v>1527</v>
      </c>
      <c r="C45" s="30" t="s">
        <v>953</v>
      </c>
      <c r="D45" s="13">
        <v>998838</v>
      </c>
      <c r="E45" s="14">
        <v>873.98</v>
      </c>
      <c r="F45" s="15">
        <v>8.0999999999999996E-3</v>
      </c>
      <c r="G45" s="15"/>
    </row>
    <row r="46" spans="1:7" x14ac:dyDescent="0.35">
      <c r="A46" s="12" t="s">
        <v>1528</v>
      </c>
      <c r="B46" s="30" t="s">
        <v>1529</v>
      </c>
      <c r="C46" s="30" t="s">
        <v>943</v>
      </c>
      <c r="D46" s="13">
        <v>39748</v>
      </c>
      <c r="E46" s="14">
        <v>784.43</v>
      </c>
      <c r="F46" s="15">
        <v>7.3000000000000001E-3</v>
      </c>
      <c r="G46" s="15"/>
    </row>
    <row r="47" spans="1:7" x14ac:dyDescent="0.35">
      <c r="A47" s="12" t="s">
        <v>1169</v>
      </c>
      <c r="B47" s="30" t="s">
        <v>1170</v>
      </c>
      <c r="C47" s="30" t="s">
        <v>901</v>
      </c>
      <c r="D47" s="13">
        <v>446237</v>
      </c>
      <c r="E47" s="14">
        <v>772.44</v>
      </c>
      <c r="F47" s="15">
        <v>7.1999999999999998E-3</v>
      </c>
      <c r="G47" s="15"/>
    </row>
    <row r="48" spans="1:7" x14ac:dyDescent="0.35">
      <c r="A48" s="12" t="s">
        <v>872</v>
      </c>
      <c r="B48" s="30" t="s">
        <v>873</v>
      </c>
      <c r="C48" s="30" t="s">
        <v>874</v>
      </c>
      <c r="D48" s="13">
        <v>185608</v>
      </c>
      <c r="E48" s="14">
        <v>752.92</v>
      </c>
      <c r="F48" s="15">
        <v>7.0000000000000001E-3</v>
      </c>
      <c r="G48" s="15"/>
    </row>
    <row r="49" spans="1:7" x14ac:dyDescent="0.35">
      <c r="A49" s="12" t="s">
        <v>1530</v>
      </c>
      <c r="B49" s="30" t="s">
        <v>1531</v>
      </c>
      <c r="C49" s="30" t="s">
        <v>1057</v>
      </c>
      <c r="D49" s="13">
        <v>137456</v>
      </c>
      <c r="E49" s="14">
        <v>627.21</v>
      </c>
      <c r="F49" s="15">
        <v>5.7999999999999996E-3</v>
      </c>
      <c r="G49" s="15"/>
    </row>
    <row r="50" spans="1:7" x14ac:dyDescent="0.35">
      <c r="A50" s="12" t="s">
        <v>1089</v>
      </c>
      <c r="B50" s="30" t="s">
        <v>1090</v>
      </c>
      <c r="C50" s="30" t="s">
        <v>940</v>
      </c>
      <c r="D50" s="13">
        <v>28886</v>
      </c>
      <c r="E50" s="14">
        <v>586.72</v>
      </c>
      <c r="F50" s="15">
        <v>5.4999999999999997E-3</v>
      </c>
      <c r="G50" s="15"/>
    </row>
    <row r="51" spans="1:7" x14ac:dyDescent="0.35">
      <c r="A51" s="12" t="s">
        <v>1532</v>
      </c>
      <c r="B51" s="30" t="s">
        <v>1533</v>
      </c>
      <c r="C51" s="30" t="s">
        <v>940</v>
      </c>
      <c r="D51" s="13">
        <v>52602</v>
      </c>
      <c r="E51" s="14">
        <v>567.54999999999995</v>
      </c>
      <c r="F51" s="15">
        <v>5.3E-3</v>
      </c>
      <c r="G51" s="15"/>
    </row>
    <row r="52" spans="1:7" x14ac:dyDescent="0.35">
      <c r="A52" s="12" t="s">
        <v>909</v>
      </c>
      <c r="B52" s="30" t="s">
        <v>910</v>
      </c>
      <c r="C52" s="30" t="s">
        <v>911</v>
      </c>
      <c r="D52" s="13">
        <v>54249</v>
      </c>
      <c r="E52" s="14">
        <v>564.80999999999995</v>
      </c>
      <c r="F52" s="15">
        <v>5.3E-3</v>
      </c>
      <c r="G52" s="15"/>
    </row>
    <row r="53" spans="1:7" x14ac:dyDescent="0.35">
      <c r="A53" s="12" t="s">
        <v>1051</v>
      </c>
      <c r="B53" s="30" t="s">
        <v>1052</v>
      </c>
      <c r="C53" s="30" t="s">
        <v>885</v>
      </c>
      <c r="D53" s="13">
        <v>105343</v>
      </c>
      <c r="E53" s="14">
        <v>552.37</v>
      </c>
      <c r="F53" s="15">
        <v>5.1000000000000004E-3</v>
      </c>
      <c r="G53" s="15"/>
    </row>
    <row r="54" spans="1:7" x14ac:dyDescent="0.35">
      <c r="A54" s="12" t="s">
        <v>866</v>
      </c>
      <c r="B54" s="30" t="s">
        <v>867</v>
      </c>
      <c r="C54" s="30" t="s">
        <v>868</v>
      </c>
      <c r="D54" s="13">
        <v>359298</v>
      </c>
      <c r="E54" s="14">
        <v>550.79999999999995</v>
      </c>
      <c r="F54" s="15">
        <v>5.1000000000000004E-3</v>
      </c>
      <c r="G54" s="15"/>
    </row>
    <row r="55" spans="1:7" x14ac:dyDescent="0.35">
      <c r="A55" s="12" t="s">
        <v>1534</v>
      </c>
      <c r="B55" s="30" t="s">
        <v>1535</v>
      </c>
      <c r="C55" s="30" t="s">
        <v>868</v>
      </c>
      <c r="D55" s="13">
        <v>171051</v>
      </c>
      <c r="E55" s="14">
        <v>527.78</v>
      </c>
      <c r="F55" s="15">
        <v>4.8999999999999998E-3</v>
      </c>
      <c r="G55" s="15"/>
    </row>
    <row r="56" spans="1:7" x14ac:dyDescent="0.35">
      <c r="A56" s="12" t="s">
        <v>1536</v>
      </c>
      <c r="B56" s="30" t="s">
        <v>1537</v>
      </c>
      <c r="C56" s="30" t="s">
        <v>1015</v>
      </c>
      <c r="D56" s="13">
        <v>36568</v>
      </c>
      <c r="E56" s="14">
        <v>522.14</v>
      </c>
      <c r="F56" s="15">
        <v>4.8999999999999998E-3</v>
      </c>
      <c r="G56" s="15"/>
    </row>
    <row r="57" spans="1:7" x14ac:dyDescent="0.35">
      <c r="A57" s="12" t="s">
        <v>1098</v>
      </c>
      <c r="B57" s="30" t="s">
        <v>1099</v>
      </c>
      <c r="C57" s="30" t="s">
        <v>885</v>
      </c>
      <c r="D57" s="13">
        <v>125592</v>
      </c>
      <c r="E57" s="14">
        <v>509.02</v>
      </c>
      <c r="F57" s="15">
        <v>4.7000000000000002E-3</v>
      </c>
      <c r="G57" s="15"/>
    </row>
    <row r="58" spans="1:7" x14ac:dyDescent="0.35">
      <c r="A58" s="12" t="s">
        <v>1538</v>
      </c>
      <c r="B58" s="30" t="s">
        <v>1539</v>
      </c>
      <c r="C58" s="30" t="s">
        <v>1540</v>
      </c>
      <c r="D58" s="13">
        <v>119097</v>
      </c>
      <c r="E58" s="14">
        <v>492.11</v>
      </c>
      <c r="F58" s="15">
        <v>4.5999999999999999E-3</v>
      </c>
      <c r="G58" s="15"/>
    </row>
    <row r="59" spans="1:7" x14ac:dyDescent="0.35">
      <c r="A59" s="12" t="s">
        <v>1541</v>
      </c>
      <c r="B59" s="30" t="s">
        <v>1542</v>
      </c>
      <c r="C59" s="30" t="s">
        <v>1540</v>
      </c>
      <c r="D59" s="13">
        <v>25308</v>
      </c>
      <c r="E59" s="14">
        <v>467.07</v>
      </c>
      <c r="F59" s="15">
        <v>4.3E-3</v>
      </c>
      <c r="G59" s="15"/>
    </row>
    <row r="60" spans="1:7" x14ac:dyDescent="0.35">
      <c r="A60" s="12" t="s">
        <v>1195</v>
      </c>
      <c r="B60" s="30" t="s">
        <v>1196</v>
      </c>
      <c r="C60" s="30" t="s">
        <v>995</v>
      </c>
      <c r="D60" s="13">
        <v>64715</v>
      </c>
      <c r="E60" s="14">
        <v>335.61</v>
      </c>
      <c r="F60" s="15">
        <v>3.0999999999999999E-3</v>
      </c>
      <c r="G60" s="15"/>
    </row>
    <row r="61" spans="1:7" x14ac:dyDescent="0.35">
      <c r="A61" s="12" t="s">
        <v>1543</v>
      </c>
      <c r="B61" s="30" t="s">
        <v>1544</v>
      </c>
      <c r="C61" s="30" t="s">
        <v>1540</v>
      </c>
      <c r="D61" s="13">
        <v>725</v>
      </c>
      <c r="E61" s="14">
        <v>285.16000000000003</v>
      </c>
      <c r="F61" s="15">
        <v>2.7000000000000001E-3</v>
      </c>
      <c r="G61" s="15"/>
    </row>
    <row r="62" spans="1:7" x14ac:dyDescent="0.35">
      <c r="A62" s="12" t="s">
        <v>1545</v>
      </c>
      <c r="B62" s="30" t="s">
        <v>1546</v>
      </c>
      <c r="C62" s="30" t="s">
        <v>958</v>
      </c>
      <c r="D62" s="13">
        <v>33579</v>
      </c>
      <c r="E62" s="14">
        <v>200.84</v>
      </c>
      <c r="F62" s="15">
        <v>1.9E-3</v>
      </c>
      <c r="G62" s="15"/>
    </row>
    <row r="63" spans="1:7" x14ac:dyDescent="0.35">
      <c r="A63" s="16" t="s">
        <v>102</v>
      </c>
      <c r="B63" s="31"/>
      <c r="C63" s="31"/>
      <c r="D63" s="17"/>
      <c r="E63" s="37">
        <v>102929.43</v>
      </c>
      <c r="F63" s="38">
        <v>0.95779999999999998</v>
      </c>
      <c r="G63" s="20"/>
    </row>
    <row r="64" spans="1:7" x14ac:dyDescent="0.35">
      <c r="A64" s="16" t="s">
        <v>1206</v>
      </c>
      <c r="B64" s="30"/>
      <c r="C64" s="30"/>
      <c r="D64" s="13"/>
      <c r="E64" s="14"/>
      <c r="F64" s="15"/>
      <c r="G64" s="15"/>
    </row>
    <row r="65" spans="1:7" x14ac:dyDescent="0.35">
      <c r="A65" s="16" t="s">
        <v>102</v>
      </c>
      <c r="B65" s="30"/>
      <c r="C65" s="30"/>
      <c r="D65" s="13"/>
      <c r="E65" s="39" t="s">
        <v>96</v>
      </c>
      <c r="F65" s="40" t="s">
        <v>96</v>
      </c>
      <c r="G65" s="15"/>
    </row>
    <row r="66" spans="1:7" x14ac:dyDescent="0.35">
      <c r="A66" s="21" t="s">
        <v>129</v>
      </c>
      <c r="B66" s="32"/>
      <c r="C66" s="32"/>
      <c r="D66" s="22"/>
      <c r="E66" s="27">
        <v>102929.43</v>
      </c>
      <c r="F66" s="28">
        <v>0.95779999999999998</v>
      </c>
      <c r="G66" s="20"/>
    </row>
    <row r="67" spans="1:7" x14ac:dyDescent="0.35">
      <c r="A67" s="12"/>
      <c r="B67" s="30"/>
      <c r="C67" s="30"/>
      <c r="D67" s="13"/>
      <c r="E67" s="14"/>
      <c r="F67" s="15"/>
      <c r="G67" s="15"/>
    </row>
    <row r="68" spans="1:7" x14ac:dyDescent="0.35">
      <c r="A68" s="12"/>
      <c r="B68" s="30"/>
      <c r="C68" s="30"/>
      <c r="D68" s="13"/>
      <c r="E68" s="14"/>
      <c r="F68" s="15"/>
      <c r="G68" s="15"/>
    </row>
    <row r="69" spans="1:7" x14ac:dyDescent="0.35">
      <c r="A69" s="16" t="s">
        <v>130</v>
      </c>
      <c r="B69" s="30"/>
      <c r="C69" s="30"/>
      <c r="D69" s="13"/>
      <c r="E69" s="14"/>
      <c r="F69" s="15"/>
      <c r="G69" s="15"/>
    </row>
    <row r="70" spans="1:7" x14ac:dyDescent="0.35">
      <c r="A70" s="12" t="s">
        <v>131</v>
      </c>
      <c r="B70" s="30"/>
      <c r="C70" s="30"/>
      <c r="D70" s="13"/>
      <c r="E70" s="14">
        <v>4157.3</v>
      </c>
      <c r="F70" s="15">
        <v>3.8699999999999998E-2</v>
      </c>
      <c r="G70" s="95">
        <v>6.1074000000000003E-2</v>
      </c>
    </row>
    <row r="71" spans="1:7" x14ac:dyDescent="0.35">
      <c r="A71" s="16" t="s">
        <v>102</v>
      </c>
      <c r="B71" s="31"/>
      <c r="C71" s="31"/>
      <c r="D71" s="17"/>
      <c r="E71" s="37">
        <v>4157.3</v>
      </c>
      <c r="F71" s="38">
        <v>3.8699999999999998E-2</v>
      </c>
      <c r="G71" s="96"/>
    </row>
    <row r="72" spans="1:7" x14ac:dyDescent="0.35">
      <c r="A72" s="12"/>
      <c r="B72" s="30"/>
      <c r="C72" s="30"/>
      <c r="D72" s="13"/>
      <c r="E72" s="14"/>
      <c r="F72" s="15"/>
      <c r="G72" s="95"/>
    </row>
    <row r="73" spans="1:7" x14ac:dyDescent="0.35">
      <c r="A73" s="21" t="s">
        <v>129</v>
      </c>
      <c r="B73" s="32"/>
      <c r="C73" s="32"/>
      <c r="D73" s="22"/>
      <c r="E73" s="18">
        <v>4157.3</v>
      </c>
      <c r="F73" s="19">
        <v>3.8699999999999998E-2</v>
      </c>
      <c r="G73" s="96"/>
    </row>
    <row r="74" spans="1:7" x14ac:dyDescent="0.35">
      <c r="A74" s="12" t="s">
        <v>132</v>
      </c>
      <c r="B74" s="30"/>
      <c r="C74" s="30"/>
      <c r="D74" s="13"/>
      <c r="E74" s="14">
        <v>0.69562520000000005</v>
      </c>
      <c r="F74" s="15">
        <v>6.0000000000000002E-6</v>
      </c>
      <c r="G74" s="95"/>
    </row>
    <row r="75" spans="1:7" x14ac:dyDescent="0.35">
      <c r="A75" s="12" t="s">
        <v>133</v>
      </c>
      <c r="B75" s="30"/>
      <c r="C75" s="30"/>
      <c r="D75" s="13"/>
      <c r="E75" s="14">
        <v>404.28437480000002</v>
      </c>
      <c r="F75" s="15">
        <v>3.4940000000000001E-3</v>
      </c>
      <c r="G75" s="95">
        <v>6.1074000000000003E-2</v>
      </c>
    </row>
    <row r="76" spans="1:7" x14ac:dyDescent="0.35">
      <c r="A76" s="25" t="s">
        <v>134</v>
      </c>
      <c r="B76" s="33"/>
      <c r="C76" s="33"/>
      <c r="D76" s="26"/>
      <c r="E76" s="27">
        <v>107491.71</v>
      </c>
      <c r="F76" s="28">
        <v>1</v>
      </c>
      <c r="G76" s="28"/>
    </row>
    <row r="81" spans="1:7" x14ac:dyDescent="0.35">
      <c r="A81" s="1" t="s">
        <v>1981</v>
      </c>
    </row>
    <row r="82" spans="1:7" x14ac:dyDescent="0.35">
      <c r="A82" s="47" t="s">
        <v>1982</v>
      </c>
      <c r="B82" s="34" t="s">
        <v>96</v>
      </c>
    </row>
    <row r="83" spans="1:7" x14ac:dyDescent="0.35">
      <c r="A83" t="s">
        <v>1983</v>
      </c>
    </row>
    <row r="84" spans="1:7" x14ac:dyDescent="0.35">
      <c r="A84" t="s">
        <v>1984</v>
      </c>
      <c r="B84" t="s">
        <v>1985</v>
      </c>
      <c r="C84" t="s">
        <v>1985</v>
      </c>
    </row>
    <row r="85" spans="1:7" x14ac:dyDescent="0.35">
      <c r="B85" s="48">
        <v>44834</v>
      </c>
      <c r="C85" s="48">
        <v>44865</v>
      </c>
    </row>
    <row r="86" spans="1:7" x14ac:dyDescent="0.35">
      <c r="A86" t="s">
        <v>1989</v>
      </c>
      <c r="B86">
        <v>25.096</v>
      </c>
      <c r="C86">
        <v>26.282</v>
      </c>
      <c r="E86" s="2"/>
      <c r="G86"/>
    </row>
    <row r="87" spans="1:7" x14ac:dyDescent="0.35">
      <c r="A87" t="s">
        <v>1990</v>
      </c>
      <c r="B87">
        <v>20.603999999999999</v>
      </c>
      <c r="C87">
        <v>21.577000000000002</v>
      </c>
      <c r="E87" s="2"/>
      <c r="G87"/>
    </row>
    <row r="88" spans="1:7" x14ac:dyDescent="0.35">
      <c r="A88" t="s">
        <v>2014</v>
      </c>
      <c r="B88">
        <v>22.675999999999998</v>
      </c>
      <c r="C88">
        <v>23.713000000000001</v>
      </c>
      <c r="E88" s="2"/>
      <c r="G88"/>
    </row>
    <row r="89" spans="1:7" x14ac:dyDescent="0.35">
      <c r="A89" t="s">
        <v>2015</v>
      </c>
      <c r="B89">
        <v>18.619</v>
      </c>
      <c r="C89">
        <v>19.47</v>
      </c>
      <c r="E89" s="2"/>
      <c r="G89"/>
    </row>
    <row r="90" spans="1:7" x14ac:dyDescent="0.35">
      <c r="E90" s="2"/>
      <c r="G90"/>
    </row>
    <row r="91" spans="1:7" x14ac:dyDescent="0.35">
      <c r="A91" t="s">
        <v>2000</v>
      </c>
      <c r="B91" s="34" t="s">
        <v>96</v>
      </c>
    </row>
    <row r="92" spans="1:7" x14ac:dyDescent="0.35">
      <c r="A92" t="s">
        <v>2001</v>
      </c>
      <c r="B92" s="34" t="s">
        <v>96</v>
      </c>
    </row>
    <row r="93" spans="1:7" ht="29" x14ac:dyDescent="0.35">
      <c r="A93" s="47" t="s">
        <v>2002</v>
      </c>
      <c r="B93" s="34" t="s">
        <v>96</v>
      </c>
    </row>
    <row r="94" spans="1:7" ht="29" x14ac:dyDescent="0.35">
      <c r="A94" s="47" t="s">
        <v>2003</v>
      </c>
      <c r="B94" s="34" t="s">
        <v>96</v>
      </c>
    </row>
    <row r="95" spans="1:7" x14ac:dyDescent="0.35">
      <c r="A95" t="s">
        <v>2033</v>
      </c>
      <c r="B95" s="49">
        <v>0.42082799999999998</v>
      </c>
    </row>
    <row r="96" spans="1:7" ht="43.5" x14ac:dyDescent="0.35">
      <c r="A96" s="47" t="s">
        <v>2005</v>
      </c>
      <c r="B96" s="34" t="s">
        <v>96</v>
      </c>
    </row>
    <row r="97" spans="1:4" ht="29" x14ac:dyDescent="0.35">
      <c r="A97" s="47" t="s">
        <v>2006</v>
      </c>
      <c r="B97" s="34" t="s">
        <v>96</v>
      </c>
    </row>
    <row r="98" spans="1:4" ht="29" x14ac:dyDescent="0.35">
      <c r="A98" s="47" t="s">
        <v>2009</v>
      </c>
      <c r="B98" s="34" t="s">
        <v>96</v>
      </c>
    </row>
    <row r="99" spans="1:4" ht="29" x14ac:dyDescent="0.35">
      <c r="A99" s="47" t="s">
        <v>2135</v>
      </c>
      <c r="B99" s="34" t="s">
        <v>96</v>
      </c>
    </row>
    <row r="100" spans="1:4" ht="29" x14ac:dyDescent="0.35">
      <c r="A100" s="47" t="s">
        <v>2136</v>
      </c>
      <c r="B100" s="34" t="s">
        <v>96</v>
      </c>
    </row>
    <row r="102" spans="1:4" ht="29" x14ac:dyDescent="0.35">
      <c r="A102" s="281" t="s">
        <v>2154</v>
      </c>
      <c r="B102" s="282" t="s">
        <v>2155</v>
      </c>
      <c r="C102" s="282" t="s">
        <v>2156</v>
      </c>
      <c r="D102" s="285" t="s">
        <v>2157</v>
      </c>
    </row>
    <row r="103" spans="1:4" ht="69.5" customHeight="1" x14ac:dyDescent="0.35">
      <c r="A103" s="284" t="s">
        <v>2194</v>
      </c>
      <c r="B103" s="283"/>
      <c r="C103" s="283" t="s">
        <v>2195</v>
      </c>
      <c r="D103" s="283"/>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D2B5-624D-4074-910D-F562266FCA53}">
  <dimension ref="A1:H107"/>
  <sheetViews>
    <sheetView showGridLines="0" workbookViewId="0">
      <pane ySplit="4" topLeftCell="A105" activePane="bottomLeft" state="frozen"/>
      <selection activeCell="A2" sqref="A2:XFD2"/>
      <selection pane="bottomLeft" activeCell="D107" sqref="D107"/>
    </sheetView>
  </sheetViews>
  <sheetFormatPr defaultRowHeight="14.5" x14ac:dyDescent="0.35"/>
  <cols>
    <col min="1" max="1" width="50.453125" customWidth="1"/>
    <col min="2" max="2" width="22.54296875" customWidth="1"/>
    <col min="3" max="3" width="26.6328125" customWidth="1"/>
    <col min="4" max="4" width="18.17968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53</v>
      </c>
      <c r="B1" s="151"/>
      <c r="C1" s="151"/>
      <c r="D1" s="151"/>
      <c r="E1" s="151"/>
      <c r="F1" s="151"/>
      <c r="G1" s="151"/>
      <c r="H1" s="50" t="str">
        <f>HYPERLINK("[EDEL_Portfolio Monthly Notes 31-Oct-2022.xlsx]Index!A1","Index")</f>
        <v>Index</v>
      </c>
    </row>
    <row r="2" spans="1:8" ht="31" customHeight="1" x14ac:dyDescent="0.35">
      <c r="A2" s="151" t="s">
        <v>54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209639</v>
      </c>
      <c r="E8" s="14">
        <v>1904.99</v>
      </c>
      <c r="F8" s="15">
        <v>9.0499999999999997E-2</v>
      </c>
      <c r="G8" s="15"/>
    </row>
    <row r="9" spans="1:8" x14ac:dyDescent="0.35">
      <c r="A9" s="12" t="s">
        <v>975</v>
      </c>
      <c r="B9" s="30" t="s">
        <v>976</v>
      </c>
      <c r="C9" s="30" t="s">
        <v>911</v>
      </c>
      <c r="D9" s="13">
        <v>85382</v>
      </c>
      <c r="E9" s="14">
        <v>1312.88</v>
      </c>
      <c r="F9" s="15">
        <v>6.2399999999999997E-2</v>
      </c>
      <c r="G9" s="15"/>
    </row>
    <row r="10" spans="1:8" x14ac:dyDescent="0.35">
      <c r="A10" s="12" t="s">
        <v>894</v>
      </c>
      <c r="B10" s="30" t="s">
        <v>895</v>
      </c>
      <c r="C10" s="30" t="s">
        <v>862</v>
      </c>
      <c r="D10" s="13">
        <v>75700</v>
      </c>
      <c r="E10" s="14">
        <v>1133</v>
      </c>
      <c r="F10" s="15">
        <v>5.3800000000000001E-2</v>
      </c>
      <c r="G10" s="15"/>
    </row>
    <row r="11" spans="1:8" x14ac:dyDescent="0.35">
      <c r="A11" s="12" t="s">
        <v>863</v>
      </c>
      <c r="B11" s="30" t="s">
        <v>864</v>
      </c>
      <c r="C11" s="30" t="s">
        <v>865</v>
      </c>
      <c r="D11" s="13">
        <v>39755</v>
      </c>
      <c r="E11" s="14">
        <v>1013.59</v>
      </c>
      <c r="F11" s="15">
        <v>4.8099999999999997E-2</v>
      </c>
      <c r="G11" s="15"/>
    </row>
    <row r="12" spans="1:8" x14ac:dyDescent="0.35">
      <c r="A12" s="12" t="s">
        <v>916</v>
      </c>
      <c r="B12" s="30" t="s">
        <v>917</v>
      </c>
      <c r="C12" s="30" t="s">
        <v>862</v>
      </c>
      <c r="D12" s="13">
        <v>109142</v>
      </c>
      <c r="E12" s="14">
        <v>988.83</v>
      </c>
      <c r="F12" s="15">
        <v>4.7E-2</v>
      </c>
      <c r="G12" s="15"/>
    </row>
    <row r="13" spans="1:8" x14ac:dyDescent="0.35">
      <c r="A13" s="12" t="s">
        <v>961</v>
      </c>
      <c r="B13" s="30" t="s">
        <v>962</v>
      </c>
      <c r="C13" s="30" t="s">
        <v>862</v>
      </c>
      <c r="D13" s="13">
        <v>172310</v>
      </c>
      <c r="E13" s="14">
        <v>988.71</v>
      </c>
      <c r="F13" s="15">
        <v>4.7E-2</v>
      </c>
      <c r="G13" s="15"/>
    </row>
    <row r="14" spans="1:8" x14ac:dyDescent="0.35">
      <c r="A14" s="12" t="s">
        <v>959</v>
      </c>
      <c r="B14" s="30" t="s">
        <v>960</v>
      </c>
      <c r="C14" s="30" t="s">
        <v>885</v>
      </c>
      <c r="D14" s="13">
        <v>9522</v>
      </c>
      <c r="E14" s="14">
        <v>680.26</v>
      </c>
      <c r="F14" s="15">
        <v>3.2300000000000002E-2</v>
      </c>
      <c r="G14" s="15"/>
    </row>
    <row r="15" spans="1:8" x14ac:dyDescent="0.35">
      <c r="A15" s="12" t="s">
        <v>896</v>
      </c>
      <c r="B15" s="30" t="s">
        <v>897</v>
      </c>
      <c r="C15" s="30" t="s">
        <v>898</v>
      </c>
      <c r="D15" s="13">
        <v>6506</v>
      </c>
      <c r="E15" s="14">
        <v>619.87</v>
      </c>
      <c r="F15" s="15">
        <v>2.9399999999999999E-2</v>
      </c>
      <c r="G15" s="15"/>
    </row>
    <row r="16" spans="1:8" x14ac:dyDescent="0.35">
      <c r="A16" s="12" t="s">
        <v>1440</v>
      </c>
      <c r="B16" s="30" t="s">
        <v>1456</v>
      </c>
      <c r="C16" s="30" t="s">
        <v>988</v>
      </c>
      <c r="D16" s="13">
        <v>73549</v>
      </c>
      <c r="E16" s="14">
        <v>611.92999999999995</v>
      </c>
      <c r="F16" s="15">
        <v>2.9100000000000001E-2</v>
      </c>
      <c r="G16" s="15"/>
    </row>
    <row r="17" spans="1:7" x14ac:dyDescent="0.35">
      <c r="A17" s="12" t="s">
        <v>948</v>
      </c>
      <c r="B17" s="30" t="s">
        <v>949</v>
      </c>
      <c r="C17" s="30" t="s">
        <v>950</v>
      </c>
      <c r="D17" s="13">
        <v>172557</v>
      </c>
      <c r="E17" s="14">
        <v>601.71</v>
      </c>
      <c r="F17" s="15">
        <v>2.86E-2</v>
      </c>
      <c r="G17" s="15"/>
    </row>
    <row r="18" spans="1:7" x14ac:dyDescent="0.35">
      <c r="A18" s="12" t="s">
        <v>1020</v>
      </c>
      <c r="B18" s="30" t="s">
        <v>1021</v>
      </c>
      <c r="C18" s="30" t="s">
        <v>1022</v>
      </c>
      <c r="D18" s="13">
        <v>29367</v>
      </c>
      <c r="E18" s="14">
        <v>594.12</v>
      </c>
      <c r="F18" s="15">
        <v>2.8199999999999999E-2</v>
      </c>
      <c r="G18" s="15"/>
    </row>
    <row r="19" spans="1:7" x14ac:dyDescent="0.35">
      <c r="A19" s="12" t="s">
        <v>938</v>
      </c>
      <c r="B19" s="30" t="s">
        <v>939</v>
      </c>
      <c r="C19" s="30" t="s">
        <v>940</v>
      </c>
      <c r="D19" s="13">
        <v>42216</v>
      </c>
      <c r="E19" s="14">
        <v>569.03</v>
      </c>
      <c r="F19" s="15">
        <v>2.7E-2</v>
      </c>
      <c r="G19" s="15"/>
    </row>
    <row r="20" spans="1:7" x14ac:dyDescent="0.35">
      <c r="A20" s="12" t="s">
        <v>1091</v>
      </c>
      <c r="B20" s="30" t="s">
        <v>1092</v>
      </c>
      <c r="C20" s="30" t="s">
        <v>934</v>
      </c>
      <c r="D20" s="13">
        <v>16454</v>
      </c>
      <c r="E20" s="14">
        <v>501.81</v>
      </c>
      <c r="F20" s="15">
        <v>2.3800000000000002E-2</v>
      </c>
      <c r="G20" s="15"/>
    </row>
    <row r="21" spans="1:7" x14ac:dyDescent="0.35">
      <c r="A21" s="12" t="s">
        <v>883</v>
      </c>
      <c r="B21" s="30" t="s">
        <v>884</v>
      </c>
      <c r="C21" s="30" t="s">
        <v>885</v>
      </c>
      <c r="D21" s="13">
        <v>17688</v>
      </c>
      <c r="E21" s="14">
        <v>436.86</v>
      </c>
      <c r="F21" s="15">
        <v>2.07E-2</v>
      </c>
      <c r="G21" s="15"/>
    </row>
    <row r="22" spans="1:7" x14ac:dyDescent="0.35">
      <c r="A22" s="12" t="s">
        <v>1042</v>
      </c>
      <c r="B22" s="30" t="s">
        <v>1043</v>
      </c>
      <c r="C22" s="30" t="s">
        <v>943</v>
      </c>
      <c r="D22" s="13">
        <v>39531</v>
      </c>
      <c r="E22" s="14">
        <v>401.99</v>
      </c>
      <c r="F22" s="15">
        <v>1.9099999999999999E-2</v>
      </c>
      <c r="G22" s="15"/>
    </row>
    <row r="23" spans="1:7" x14ac:dyDescent="0.35">
      <c r="A23" s="12" t="s">
        <v>1143</v>
      </c>
      <c r="B23" s="30" t="s">
        <v>1144</v>
      </c>
      <c r="C23" s="30" t="s">
        <v>950</v>
      </c>
      <c r="D23" s="13">
        <v>14612</v>
      </c>
      <c r="E23" s="14">
        <v>372.71</v>
      </c>
      <c r="F23" s="15">
        <v>1.77E-2</v>
      </c>
      <c r="G23" s="15"/>
    </row>
    <row r="24" spans="1:7" x14ac:dyDescent="0.35">
      <c r="A24" s="12" t="s">
        <v>1421</v>
      </c>
      <c r="B24" s="30" t="s">
        <v>1422</v>
      </c>
      <c r="C24" s="30" t="s">
        <v>1015</v>
      </c>
      <c r="D24" s="13">
        <v>72934</v>
      </c>
      <c r="E24" s="14">
        <v>364.34</v>
      </c>
      <c r="F24" s="15">
        <v>1.7299999999999999E-2</v>
      </c>
      <c r="G24" s="15"/>
    </row>
    <row r="25" spans="1:7" x14ac:dyDescent="0.35">
      <c r="A25" s="12" t="s">
        <v>923</v>
      </c>
      <c r="B25" s="30" t="s">
        <v>924</v>
      </c>
      <c r="C25" s="30" t="s">
        <v>877</v>
      </c>
      <c r="D25" s="13">
        <v>333694</v>
      </c>
      <c r="E25" s="14">
        <v>356.55</v>
      </c>
      <c r="F25" s="15">
        <v>1.6899999999999998E-2</v>
      </c>
      <c r="G25" s="15"/>
    </row>
    <row r="26" spans="1:7" x14ac:dyDescent="0.35">
      <c r="A26" s="12" t="s">
        <v>1046</v>
      </c>
      <c r="B26" s="30" t="s">
        <v>1047</v>
      </c>
      <c r="C26" s="30" t="s">
        <v>1048</v>
      </c>
      <c r="D26" s="13">
        <v>22404</v>
      </c>
      <c r="E26" s="14">
        <v>342.31</v>
      </c>
      <c r="F26" s="15">
        <v>1.6299999999999999E-2</v>
      </c>
      <c r="G26" s="15"/>
    </row>
    <row r="27" spans="1:7" x14ac:dyDescent="0.35">
      <c r="A27" s="12" t="s">
        <v>1106</v>
      </c>
      <c r="B27" s="30" t="s">
        <v>1107</v>
      </c>
      <c r="C27" s="30" t="s">
        <v>983</v>
      </c>
      <c r="D27" s="13">
        <v>26240</v>
      </c>
      <c r="E27" s="14">
        <v>332.19</v>
      </c>
      <c r="F27" s="15">
        <v>1.5800000000000002E-2</v>
      </c>
      <c r="G27" s="15"/>
    </row>
    <row r="28" spans="1:7" x14ac:dyDescent="0.35">
      <c r="A28" s="12" t="s">
        <v>1087</v>
      </c>
      <c r="B28" s="30" t="s">
        <v>1088</v>
      </c>
      <c r="C28" s="30" t="s">
        <v>931</v>
      </c>
      <c r="D28" s="13">
        <v>7277</v>
      </c>
      <c r="E28" s="14">
        <v>331.23</v>
      </c>
      <c r="F28" s="15">
        <v>1.5699999999999999E-2</v>
      </c>
      <c r="G28" s="15"/>
    </row>
    <row r="29" spans="1:7" x14ac:dyDescent="0.35">
      <c r="A29" s="12" t="s">
        <v>1040</v>
      </c>
      <c r="B29" s="30" t="s">
        <v>1041</v>
      </c>
      <c r="C29" s="30" t="s">
        <v>908</v>
      </c>
      <c r="D29" s="13">
        <v>4787</v>
      </c>
      <c r="E29" s="14">
        <v>321.44</v>
      </c>
      <c r="F29" s="15">
        <v>1.5299999999999999E-2</v>
      </c>
      <c r="G29" s="15"/>
    </row>
    <row r="30" spans="1:7" x14ac:dyDescent="0.35">
      <c r="A30" s="12" t="s">
        <v>989</v>
      </c>
      <c r="B30" s="30" t="s">
        <v>990</v>
      </c>
      <c r="C30" s="30" t="s">
        <v>885</v>
      </c>
      <c r="D30" s="13">
        <v>44894</v>
      </c>
      <c r="E30" s="14">
        <v>318.45999999999998</v>
      </c>
      <c r="F30" s="15">
        <v>1.5100000000000001E-2</v>
      </c>
      <c r="G30" s="15"/>
    </row>
    <row r="31" spans="1:7" x14ac:dyDescent="0.35">
      <c r="A31" s="12" t="s">
        <v>1411</v>
      </c>
      <c r="B31" s="30" t="s">
        <v>1412</v>
      </c>
      <c r="C31" s="30" t="s">
        <v>953</v>
      </c>
      <c r="D31" s="13">
        <v>55813</v>
      </c>
      <c r="E31" s="14">
        <v>299.55</v>
      </c>
      <c r="F31" s="15">
        <v>1.4200000000000001E-2</v>
      </c>
      <c r="G31" s="15"/>
    </row>
    <row r="32" spans="1:7" x14ac:dyDescent="0.35">
      <c r="A32" s="12" t="s">
        <v>918</v>
      </c>
      <c r="B32" s="30" t="s">
        <v>919</v>
      </c>
      <c r="C32" s="30" t="s">
        <v>911</v>
      </c>
      <c r="D32" s="13">
        <v>9271</v>
      </c>
      <c r="E32" s="14">
        <v>296.04000000000002</v>
      </c>
      <c r="F32" s="15">
        <v>1.41E-2</v>
      </c>
      <c r="G32" s="15"/>
    </row>
    <row r="33" spans="1:7" x14ac:dyDescent="0.35">
      <c r="A33" s="12" t="s">
        <v>1522</v>
      </c>
      <c r="B33" s="30" t="s">
        <v>1523</v>
      </c>
      <c r="C33" s="30" t="s">
        <v>943</v>
      </c>
      <c r="D33" s="13">
        <v>25308</v>
      </c>
      <c r="E33" s="14">
        <v>295.45</v>
      </c>
      <c r="F33" s="15">
        <v>1.4E-2</v>
      </c>
      <c r="G33" s="15"/>
    </row>
    <row r="34" spans="1:7" x14ac:dyDescent="0.35">
      <c r="A34" s="12" t="s">
        <v>1526</v>
      </c>
      <c r="B34" s="30" t="s">
        <v>1527</v>
      </c>
      <c r="C34" s="30" t="s">
        <v>953</v>
      </c>
      <c r="D34" s="13">
        <v>308051</v>
      </c>
      <c r="E34" s="14">
        <v>269.54000000000002</v>
      </c>
      <c r="F34" s="15">
        <v>1.2800000000000001E-2</v>
      </c>
      <c r="G34" s="15"/>
    </row>
    <row r="35" spans="1:7" x14ac:dyDescent="0.35">
      <c r="A35" s="12" t="s">
        <v>1180</v>
      </c>
      <c r="B35" s="30" t="s">
        <v>1181</v>
      </c>
      <c r="C35" s="30" t="s">
        <v>958</v>
      </c>
      <c r="D35" s="13">
        <v>68011</v>
      </c>
      <c r="E35" s="14">
        <v>246.4</v>
      </c>
      <c r="F35" s="15">
        <v>1.17E-2</v>
      </c>
      <c r="G35" s="15"/>
    </row>
    <row r="36" spans="1:7" x14ac:dyDescent="0.35">
      <c r="A36" s="12" t="s">
        <v>1016</v>
      </c>
      <c r="B36" s="30" t="s">
        <v>1017</v>
      </c>
      <c r="C36" s="30" t="s">
        <v>958</v>
      </c>
      <c r="D36" s="13">
        <v>7870</v>
      </c>
      <c r="E36" s="14">
        <v>217.33</v>
      </c>
      <c r="F36" s="15">
        <v>1.03E-2</v>
      </c>
      <c r="G36" s="15"/>
    </row>
    <row r="37" spans="1:7" x14ac:dyDescent="0.35">
      <c r="A37" s="12" t="s">
        <v>979</v>
      </c>
      <c r="B37" s="30" t="s">
        <v>980</v>
      </c>
      <c r="C37" s="30" t="s">
        <v>888</v>
      </c>
      <c r="D37" s="13">
        <v>6615</v>
      </c>
      <c r="E37" s="14">
        <v>214.45</v>
      </c>
      <c r="F37" s="15">
        <v>1.0200000000000001E-2</v>
      </c>
      <c r="G37" s="15"/>
    </row>
    <row r="38" spans="1:7" x14ac:dyDescent="0.35">
      <c r="A38" s="12" t="s">
        <v>1114</v>
      </c>
      <c r="B38" s="30" t="s">
        <v>1115</v>
      </c>
      <c r="C38" s="30" t="s">
        <v>943</v>
      </c>
      <c r="D38" s="13">
        <v>4797</v>
      </c>
      <c r="E38" s="14">
        <v>212.68</v>
      </c>
      <c r="F38" s="15">
        <v>1.01E-2</v>
      </c>
      <c r="G38" s="15"/>
    </row>
    <row r="39" spans="1:7" x14ac:dyDescent="0.35">
      <c r="A39" s="12" t="s">
        <v>1137</v>
      </c>
      <c r="B39" s="30" t="s">
        <v>1138</v>
      </c>
      <c r="C39" s="30" t="s">
        <v>898</v>
      </c>
      <c r="D39" s="13">
        <v>50997</v>
      </c>
      <c r="E39" s="14">
        <v>210.49</v>
      </c>
      <c r="F39" s="15">
        <v>0.01</v>
      </c>
      <c r="G39" s="15"/>
    </row>
    <row r="40" spans="1:7" x14ac:dyDescent="0.35">
      <c r="A40" s="12" t="s">
        <v>1038</v>
      </c>
      <c r="B40" s="30" t="s">
        <v>1039</v>
      </c>
      <c r="C40" s="30" t="s">
        <v>1015</v>
      </c>
      <c r="D40" s="13">
        <v>21714</v>
      </c>
      <c r="E40" s="14">
        <v>200.78</v>
      </c>
      <c r="F40" s="15">
        <v>9.4999999999999998E-3</v>
      </c>
      <c r="G40" s="15"/>
    </row>
    <row r="41" spans="1:7" x14ac:dyDescent="0.35">
      <c r="A41" s="12" t="s">
        <v>1419</v>
      </c>
      <c r="B41" s="30" t="s">
        <v>1420</v>
      </c>
      <c r="C41" s="30" t="s">
        <v>885</v>
      </c>
      <c r="D41" s="13">
        <v>20467</v>
      </c>
      <c r="E41" s="14">
        <v>199.59</v>
      </c>
      <c r="F41" s="15">
        <v>9.4999999999999998E-3</v>
      </c>
      <c r="G41" s="15"/>
    </row>
    <row r="42" spans="1:7" x14ac:dyDescent="0.35">
      <c r="A42" s="12" t="s">
        <v>1524</v>
      </c>
      <c r="B42" s="30" t="s">
        <v>1525</v>
      </c>
      <c r="C42" s="30" t="s">
        <v>898</v>
      </c>
      <c r="D42" s="13">
        <v>7164</v>
      </c>
      <c r="E42" s="14">
        <v>191.77</v>
      </c>
      <c r="F42" s="15">
        <v>9.1000000000000004E-3</v>
      </c>
      <c r="G42" s="15"/>
    </row>
    <row r="43" spans="1:7" x14ac:dyDescent="0.35">
      <c r="A43" s="12" t="s">
        <v>1425</v>
      </c>
      <c r="B43" s="30" t="s">
        <v>1426</v>
      </c>
      <c r="C43" s="30" t="s">
        <v>974</v>
      </c>
      <c r="D43" s="13">
        <v>23891</v>
      </c>
      <c r="E43" s="14">
        <v>178.66</v>
      </c>
      <c r="F43" s="15">
        <v>8.5000000000000006E-3</v>
      </c>
      <c r="G43" s="15"/>
    </row>
    <row r="44" spans="1:7" x14ac:dyDescent="0.35">
      <c r="A44" s="12" t="s">
        <v>1538</v>
      </c>
      <c r="B44" s="30" t="s">
        <v>1539</v>
      </c>
      <c r="C44" s="30" t="s">
        <v>1540</v>
      </c>
      <c r="D44" s="13">
        <v>40560</v>
      </c>
      <c r="E44" s="14">
        <v>167.59</v>
      </c>
      <c r="F44" s="15">
        <v>8.0000000000000002E-3</v>
      </c>
      <c r="G44" s="15"/>
    </row>
    <row r="45" spans="1:7" x14ac:dyDescent="0.35">
      <c r="A45" s="12" t="s">
        <v>1169</v>
      </c>
      <c r="B45" s="30" t="s">
        <v>1170</v>
      </c>
      <c r="C45" s="30" t="s">
        <v>901</v>
      </c>
      <c r="D45" s="13">
        <v>87740</v>
      </c>
      <c r="E45" s="14">
        <v>151.88</v>
      </c>
      <c r="F45" s="15">
        <v>7.1999999999999998E-3</v>
      </c>
      <c r="G45" s="15"/>
    </row>
    <row r="46" spans="1:7" x14ac:dyDescent="0.35">
      <c r="A46" s="12" t="s">
        <v>872</v>
      </c>
      <c r="B46" s="30" t="s">
        <v>873</v>
      </c>
      <c r="C46" s="30" t="s">
        <v>874</v>
      </c>
      <c r="D46" s="13">
        <v>36852</v>
      </c>
      <c r="E46" s="14">
        <v>149.49</v>
      </c>
      <c r="F46" s="15">
        <v>7.1000000000000004E-3</v>
      </c>
      <c r="G46" s="15"/>
    </row>
    <row r="47" spans="1:7" x14ac:dyDescent="0.35">
      <c r="A47" s="12" t="s">
        <v>1530</v>
      </c>
      <c r="B47" s="30" t="s">
        <v>1531</v>
      </c>
      <c r="C47" s="30" t="s">
        <v>1057</v>
      </c>
      <c r="D47" s="13">
        <v>27290</v>
      </c>
      <c r="E47" s="14">
        <v>124.52</v>
      </c>
      <c r="F47" s="15">
        <v>5.8999999999999999E-3</v>
      </c>
      <c r="G47" s="15"/>
    </row>
    <row r="48" spans="1:7" x14ac:dyDescent="0.35">
      <c r="A48" s="12" t="s">
        <v>1423</v>
      </c>
      <c r="B48" s="30" t="s">
        <v>1424</v>
      </c>
      <c r="C48" s="30" t="s">
        <v>958</v>
      </c>
      <c r="D48" s="13">
        <v>11188</v>
      </c>
      <c r="E48" s="14">
        <v>120.97</v>
      </c>
      <c r="F48" s="15">
        <v>5.7000000000000002E-3</v>
      </c>
      <c r="G48" s="15"/>
    </row>
    <row r="49" spans="1:7" x14ac:dyDescent="0.35">
      <c r="A49" s="12" t="s">
        <v>1532</v>
      </c>
      <c r="B49" s="30" t="s">
        <v>1533</v>
      </c>
      <c r="C49" s="30" t="s">
        <v>940</v>
      </c>
      <c r="D49" s="13">
        <v>10443</v>
      </c>
      <c r="E49" s="14">
        <v>112.67</v>
      </c>
      <c r="F49" s="15">
        <v>5.4000000000000003E-3</v>
      </c>
      <c r="G49" s="15"/>
    </row>
    <row r="50" spans="1:7" x14ac:dyDescent="0.35">
      <c r="A50" s="12" t="s">
        <v>909</v>
      </c>
      <c r="B50" s="30" t="s">
        <v>910</v>
      </c>
      <c r="C50" s="30" t="s">
        <v>911</v>
      </c>
      <c r="D50" s="13">
        <v>10771</v>
      </c>
      <c r="E50" s="14">
        <v>112.14</v>
      </c>
      <c r="F50" s="15">
        <v>5.3E-3</v>
      </c>
      <c r="G50" s="15"/>
    </row>
    <row r="51" spans="1:7" x14ac:dyDescent="0.35">
      <c r="A51" s="12" t="s">
        <v>866</v>
      </c>
      <c r="B51" s="30" t="s">
        <v>867</v>
      </c>
      <c r="C51" s="30" t="s">
        <v>868</v>
      </c>
      <c r="D51" s="13">
        <v>71348</v>
      </c>
      <c r="E51" s="14">
        <v>109.38</v>
      </c>
      <c r="F51" s="15">
        <v>5.1999999999999998E-3</v>
      </c>
      <c r="G51" s="15"/>
    </row>
    <row r="52" spans="1:7" x14ac:dyDescent="0.35">
      <c r="A52" s="12" t="s">
        <v>1051</v>
      </c>
      <c r="B52" s="30" t="s">
        <v>1052</v>
      </c>
      <c r="C52" s="30" t="s">
        <v>885</v>
      </c>
      <c r="D52" s="13">
        <v>20744</v>
      </c>
      <c r="E52" s="14">
        <v>108.77</v>
      </c>
      <c r="F52" s="15">
        <v>5.1999999999999998E-3</v>
      </c>
      <c r="G52" s="15"/>
    </row>
    <row r="53" spans="1:7" x14ac:dyDescent="0.35">
      <c r="A53" s="12" t="s">
        <v>1089</v>
      </c>
      <c r="B53" s="30" t="s">
        <v>1090</v>
      </c>
      <c r="C53" s="30" t="s">
        <v>940</v>
      </c>
      <c r="D53" s="13">
        <v>5306</v>
      </c>
      <c r="E53" s="14">
        <v>107.77</v>
      </c>
      <c r="F53" s="15">
        <v>5.1000000000000004E-3</v>
      </c>
      <c r="G53" s="15"/>
    </row>
    <row r="54" spans="1:7" x14ac:dyDescent="0.35">
      <c r="A54" s="12" t="s">
        <v>1536</v>
      </c>
      <c r="B54" s="30" t="s">
        <v>1537</v>
      </c>
      <c r="C54" s="30" t="s">
        <v>1015</v>
      </c>
      <c r="D54" s="13">
        <v>7463</v>
      </c>
      <c r="E54" s="14">
        <v>106.56</v>
      </c>
      <c r="F54" s="15">
        <v>5.1000000000000004E-3</v>
      </c>
      <c r="G54" s="15"/>
    </row>
    <row r="55" spans="1:7" x14ac:dyDescent="0.35">
      <c r="A55" s="12" t="s">
        <v>1534</v>
      </c>
      <c r="B55" s="30" t="s">
        <v>1535</v>
      </c>
      <c r="C55" s="30" t="s">
        <v>868</v>
      </c>
      <c r="D55" s="13">
        <v>33958</v>
      </c>
      <c r="E55" s="14">
        <v>104.78</v>
      </c>
      <c r="F55" s="15">
        <v>5.0000000000000001E-3</v>
      </c>
      <c r="G55" s="15"/>
    </row>
    <row r="56" spans="1:7" x14ac:dyDescent="0.35">
      <c r="A56" s="12" t="s">
        <v>1528</v>
      </c>
      <c r="B56" s="30" t="s">
        <v>1529</v>
      </c>
      <c r="C56" s="30" t="s">
        <v>943</v>
      </c>
      <c r="D56" s="13">
        <v>5248</v>
      </c>
      <c r="E56" s="14">
        <v>103.57</v>
      </c>
      <c r="F56" s="15">
        <v>4.8999999999999998E-3</v>
      </c>
      <c r="G56" s="15"/>
    </row>
    <row r="57" spans="1:7" x14ac:dyDescent="0.35">
      <c r="A57" s="12" t="s">
        <v>1098</v>
      </c>
      <c r="B57" s="30" t="s">
        <v>1099</v>
      </c>
      <c r="C57" s="30" t="s">
        <v>885</v>
      </c>
      <c r="D57" s="13">
        <v>24617</v>
      </c>
      <c r="E57" s="14">
        <v>99.77</v>
      </c>
      <c r="F57" s="15">
        <v>4.7000000000000002E-3</v>
      </c>
      <c r="G57" s="15"/>
    </row>
    <row r="58" spans="1:7" x14ac:dyDescent="0.35">
      <c r="A58" s="12" t="s">
        <v>1541</v>
      </c>
      <c r="B58" s="30" t="s">
        <v>1542</v>
      </c>
      <c r="C58" s="30" t="s">
        <v>1540</v>
      </c>
      <c r="D58" s="13">
        <v>5026</v>
      </c>
      <c r="E58" s="14">
        <v>92.76</v>
      </c>
      <c r="F58" s="15">
        <v>4.4000000000000003E-3</v>
      </c>
      <c r="G58" s="15"/>
    </row>
    <row r="59" spans="1:7" x14ac:dyDescent="0.35">
      <c r="A59" s="12" t="s">
        <v>1545</v>
      </c>
      <c r="B59" s="30" t="s">
        <v>1546</v>
      </c>
      <c r="C59" s="30" t="s">
        <v>958</v>
      </c>
      <c r="D59" s="13">
        <v>15351</v>
      </c>
      <c r="E59" s="14">
        <v>91.81</v>
      </c>
      <c r="F59" s="15">
        <v>4.4000000000000003E-3</v>
      </c>
      <c r="G59" s="15"/>
    </row>
    <row r="60" spans="1:7" x14ac:dyDescent="0.35">
      <c r="A60" s="12" t="s">
        <v>1195</v>
      </c>
      <c r="B60" s="30" t="s">
        <v>1196</v>
      </c>
      <c r="C60" s="30" t="s">
        <v>995</v>
      </c>
      <c r="D60" s="13">
        <v>12850</v>
      </c>
      <c r="E60" s="14">
        <v>66.64</v>
      </c>
      <c r="F60" s="15">
        <v>3.2000000000000002E-3</v>
      </c>
      <c r="G60" s="15"/>
    </row>
    <row r="61" spans="1:7" x14ac:dyDescent="0.35">
      <c r="A61" s="12" t="s">
        <v>1543</v>
      </c>
      <c r="B61" s="30" t="s">
        <v>1544</v>
      </c>
      <c r="C61" s="30" t="s">
        <v>1540</v>
      </c>
      <c r="D61" s="13">
        <v>143</v>
      </c>
      <c r="E61" s="14">
        <v>56.25</v>
      </c>
      <c r="F61" s="15">
        <v>2.7000000000000001E-3</v>
      </c>
      <c r="G61" s="15"/>
    </row>
    <row r="62" spans="1:7" x14ac:dyDescent="0.35">
      <c r="A62" s="16" t="s">
        <v>102</v>
      </c>
      <c r="B62" s="31"/>
      <c r="C62" s="31"/>
      <c r="D62" s="17"/>
      <c r="E62" s="37">
        <v>20118.86</v>
      </c>
      <c r="F62" s="38">
        <v>0.9556</v>
      </c>
      <c r="G62" s="20"/>
    </row>
    <row r="63" spans="1:7" x14ac:dyDescent="0.35">
      <c r="A63" s="16" t="s">
        <v>1206</v>
      </c>
      <c r="B63" s="30"/>
      <c r="C63" s="30"/>
      <c r="D63" s="13"/>
      <c r="E63" s="14"/>
      <c r="F63" s="15"/>
      <c r="G63" s="15"/>
    </row>
    <row r="64" spans="1:7" x14ac:dyDescent="0.35">
      <c r="A64" s="16" t="s">
        <v>102</v>
      </c>
      <c r="B64" s="30"/>
      <c r="C64" s="30"/>
      <c r="D64" s="13"/>
      <c r="E64" s="39" t="s">
        <v>96</v>
      </c>
      <c r="F64" s="40" t="s">
        <v>96</v>
      </c>
      <c r="G64" s="15"/>
    </row>
    <row r="65" spans="1:7" x14ac:dyDescent="0.35">
      <c r="A65" s="21" t="s">
        <v>129</v>
      </c>
      <c r="B65" s="32"/>
      <c r="C65" s="32"/>
      <c r="D65" s="22"/>
      <c r="E65" s="27">
        <v>20118.86</v>
      </c>
      <c r="F65" s="28">
        <v>0.9556</v>
      </c>
      <c r="G65" s="20"/>
    </row>
    <row r="66" spans="1:7" x14ac:dyDescent="0.35">
      <c r="A66" s="12"/>
      <c r="B66" s="30"/>
      <c r="C66" s="30"/>
      <c r="D66" s="13"/>
      <c r="E66" s="14"/>
      <c r="F66" s="15"/>
      <c r="G66" s="15"/>
    </row>
    <row r="67" spans="1:7" x14ac:dyDescent="0.35">
      <c r="A67" s="12"/>
      <c r="B67" s="30"/>
      <c r="C67" s="30"/>
      <c r="D67" s="13"/>
      <c r="E67" s="14"/>
      <c r="F67" s="15"/>
      <c r="G67" s="15"/>
    </row>
    <row r="68" spans="1:7" x14ac:dyDescent="0.35">
      <c r="A68" s="16" t="s">
        <v>130</v>
      </c>
      <c r="B68" s="30"/>
      <c r="C68" s="30"/>
      <c r="D68" s="13"/>
      <c r="E68" s="14"/>
      <c r="F68" s="15"/>
      <c r="G68" s="15"/>
    </row>
    <row r="69" spans="1:7" x14ac:dyDescent="0.35">
      <c r="A69" s="12" t="s">
        <v>131</v>
      </c>
      <c r="B69" s="30"/>
      <c r="C69" s="30"/>
      <c r="D69" s="13"/>
      <c r="E69" s="14">
        <v>716.88</v>
      </c>
      <c r="F69" s="15">
        <v>3.4000000000000002E-2</v>
      </c>
      <c r="G69" s="97">
        <v>6.1074000000000003E-2</v>
      </c>
    </row>
    <row r="70" spans="1:7" x14ac:dyDescent="0.35">
      <c r="A70" s="16" t="s">
        <v>102</v>
      </c>
      <c r="B70" s="31"/>
      <c r="C70" s="31"/>
      <c r="D70" s="17"/>
      <c r="E70" s="37">
        <v>716.88</v>
      </c>
      <c r="F70" s="38">
        <v>3.4000000000000002E-2</v>
      </c>
      <c r="G70" s="98"/>
    </row>
    <row r="71" spans="1:7" x14ac:dyDescent="0.35">
      <c r="A71" s="12"/>
      <c r="B71" s="30"/>
      <c r="C71" s="30"/>
      <c r="D71" s="13"/>
      <c r="E71" s="14"/>
      <c r="F71" s="15"/>
      <c r="G71" s="97"/>
    </row>
    <row r="72" spans="1:7" x14ac:dyDescent="0.35">
      <c r="A72" s="21" t="s">
        <v>129</v>
      </c>
      <c r="B72" s="32"/>
      <c r="C72" s="32"/>
      <c r="D72" s="22"/>
      <c r="E72" s="18">
        <v>716.88</v>
      </c>
      <c r="F72" s="19">
        <v>3.4000000000000002E-2</v>
      </c>
      <c r="G72" s="98"/>
    </row>
    <row r="73" spans="1:7" x14ac:dyDescent="0.35">
      <c r="A73" s="12" t="s">
        <v>132</v>
      </c>
      <c r="B73" s="30"/>
      <c r="C73" s="30"/>
      <c r="D73" s="13"/>
      <c r="E73" s="14">
        <v>0.1199527</v>
      </c>
      <c r="F73" s="15">
        <v>5.0000000000000004E-6</v>
      </c>
      <c r="G73" s="97"/>
    </row>
    <row r="74" spans="1:7" x14ac:dyDescent="0.35">
      <c r="A74" s="12" t="s">
        <v>133</v>
      </c>
      <c r="B74" s="30"/>
      <c r="C74" s="30"/>
      <c r="D74" s="13"/>
      <c r="E74" s="14">
        <v>218.18004730000001</v>
      </c>
      <c r="F74" s="15">
        <v>1.0395E-2</v>
      </c>
      <c r="G74" s="97">
        <v>6.1074000000000003E-2</v>
      </c>
    </row>
    <row r="75" spans="1:7" x14ac:dyDescent="0.35">
      <c r="A75" s="25" t="s">
        <v>134</v>
      </c>
      <c r="B75" s="33"/>
      <c r="C75" s="33"/>
      <c r="D75" s="26"/>
      <c r="E75" s="27">
        <v>21054.04</v>
      </c>
      <c r="F75" s="28">
        <v>1</v>
      </c>
      <c r="G75" s="28"/>
    </row>
    <row r="80" spans="1:7" x14ac:dyDescent="0.35">
      <c r="A80" s="1" t="s">
        <v>1981</v>
      </c>
    </row>
    <row r="81" spans="1:7" x14ac:dyDescent="0.35">
      <c r="A81" s="47" t="s">
        <v>1982</v>
      </c>
      <c r="B81" s="34" t="s">
        <v>96</v>
      </c>
    </row>
    <row r="82" spans="1:7" x14ac:dyDescent="0.35">
      <c r="A82" t="s">
        <v>1983</v>
      </c>
    </row>
    <row r="83" spans="1:7" x14ac:dyDescent="0.35">
      <c r="A83" t="s">
        <v>1984</v>
      </c>
      <c r="B83" t="s">
        <v>1985</v>
      </c>
      <c r="C83" t="s">
        <v>1985</v>
      </c>
    </row>
    <row r="84" spans="1:7" x14ac:dyDescent="0.35">
      <c r="B84" s="48">
        <v>44834</v>
      </c>
      <c r="C84" s="48">
        <v>44865</v>
      </c>
    </row>
    <row r="85" spans="1:7" x14ac:dyDescent="0.35">
      <c r="A85" t="s">
        <v>1989</v>
      </c>
      <c r="B85">
        <v>78.56</v>
      </c>
      <c r="C85">
        <v>82.22</v>
      </c>
      <c r="E85" s="2"/>
      <c r="G85"/>
    </row>
    <row r="86" spans="1:7" x14ac:dyDescent="0.35">
      <c r="A86" t="s">
        <v>1990</v>
      </c>
      <c r="B86">
        <v>27.55</v>
      </c>
      <c r="C86">
        <v>28.84</v>
      </c>
      <c r="E86" s="2"/>
      <c r="G86"/>
    </row>
    <row r="87" spans="1:7" x14ac:dyDescent="0.35">
      <c r="A87" t="s">
        <v>2014</v>
      </c>
      <c r="B87">
        <v>69.569999999999993</v>
      </c>
      <c r="C87">
        <v>72.709999999999994</v>
      </c>
      <c r="E87" s="2"/>
      <c r="G87"/>
    </row>
    <row r="88" spans="1:7" x14ac:dyDescent="0.35">
      <c r="A88" t="s">
        <v>2015</v>
      </c>
      <c r="B88">
        <v>19.62</v>
      </c>
      <c r="C88">
        <v>20.51</v>
      </c>
      <c r="E88" s="2"/>
      <c r="G88"/>
    </row>
    <row r="89" spans="1:7" x14ac:dyDescent="0.35">
      <c r="E89" s="2"/>
      <c r="G89"/>
    </row>
    <row r="90" spans="1:7" x14ac:dyDescent="0.35">
      <c r="A90" s="137" t="s">
        <v>2020</v>
      </c>
      <c r="B90" s="137"/>
      <c r="C90" s="137"/>
      <c r="D90" s="137"/>
    </row>
    <row r="91" spans="1:7" s="137" customFormat="1" x14ac:dyDescent="0.35">
      <c r="G91" s="2"/>
    </row>
    <row r="92" spans="1:7" s="137" customFormat="1" x14ac:dyDescent="0.35">
      <c r="A92" s="149" t="s">
        <v>2021</v>
      </c>
      <c r="B92" s="149" t="s">
        <v>2022</v>
      </c>
      <c r="C92" s="149" t="s">
        <v>2023</v>
      </c>
      <c r="D92" s="149" t="s">
        <v>2024</v>
      </c>
      <c r="G92" s="2"/>
    </row>
    <row r="93" spans="1:7" s="137" customFormat="1" x14ac:dyDescent="0.35">
      <c r="A93" s="149" t="s">
        <v>2142</v>
      </c>
      <c r="B93" s="149"/>
      <c r="C93" s="149">
        <v>0.08</v>
      </c>
      <c r="D93" s="149">
        <v>0.08</v>
      </c>
      <c r="G93" s="2"/>
    </row>
    <row r="94" spans="1:7" s="137" customFormat="1" x14ac:dyDescent="0.35">
      <c r="A94" s="149" t="s">
        <v>2045</v>
      </c>
      <c r="B94" s="149"/>
      <c r="C94" s="149">
        <v>0.08</v>
      </c>
      <c r="D94" s="149">
        <v>0.08</v>
      </c>
      <c r="G94" s="2"/>
    </row>
    <row r="95" spans="1:7" s="137" customFormat="1" x14ac:dyDescent="0.35">
      <c r="B95" s="34"/>
      <c r="G95" s="2"/>
    </row>
    <row r="96" spans="1:7" x14ac:dyDescent="0.35">
      <c r="A96" t="s">
        <v>2001</v>
      </c>
      <c r="B96" s="34" t="s">
        <v>96</v>
      </c>
    </row>
    <row r="97" spans="1:4" ht="29" x14ac:dyDescent="0.35">
      <c r="A97" s="47" t="s">
        <v>2002</v>
      </c>
      <c r="B97" s="34" t="s">
        <v>96</v>
      </c>
    </row>
    <row r="98" spans="1:4" ht="29" x14ac:dyDescent="0.35">
      <c r="A98" s="47" t="s">
        <v>2003</v>
      </c>
      <c r="B98" s="34" t="s">
        <v>96</v>
      </c>
    </row>
    <row r="99" spans="1:4" x14ac:dyDescent="0.35">
      <c r="A99" t="s">
        <v>2033</v>
      </c>
      <c r="B99" s="49">
        <v>0.45804600000000001</v>
      </c>
    </row>
    <row r="100" spans="1:4" ht="43.5" x14ac:dyDescent="0.35">
      <c r="A100" s="47" t="s">
        <v>2005</v>
      </c>
      <c r="B100" s="34" t="s">
        <v>96</v>
      </c>
    </row>
    <row r="101" spans="1:4" ht="29" x14ac:dyDescent="0.35">
      <c r="A101" s="47" t="s">
        <v>2006</v>
      </c>
      <c r="B101" s="34" t="s">
        <v>96</v>
      </c>
    </row>
    <row r="102" spans="1:4" ht="29" x14ac:dyDescent="0.35">
      <c r="A102" s="47" t="s">
        <v>2009</v>
      </c>
      <c r="B102" s="34" t="s">
        <v>96</v>
      </c>
    </row>
    <row r="103" spans="1:4" ht="29" x14ac:dyDescent="0.35">
      <c r="A103" s="47" t="s">
        <v>2135</v>
      </c>
      <c r="B103" s="34" t="s">
        <v>96</v>
      </c>
    </row>
    <row r="104" spans="1:4" ht="29" x14ac:dyDescent="0.35">
      <c r="A104" s="47" t="s">
        <v>2136</v>
      </c>
      <c r="B104" s="34" t="s">
        <v>96</v>
      </c>
    </row>
    <row r="106" spans="1:4" ht="29" x14ac:dyDescent="0.35">
      <c r="A106" s="286" t="s">
        <v>2154</v>
      </c>
      <c r="B106" s="287" t="s">
        <v>2155</v>
      </c>
      <c r="C106" s="287" t="s">
        <v>2156</v>
      </c>
      <c r="D106" s="290" t="s">
        <v>2157</v>
      </c>
    </row>
    <row r="107" spans="1:4" ht="68.5" customHeight="1" x14ac:dyDescent="0.35">
      <c r="A107" s="289" t="s">
        <v>2196</v>
      </c>
      <c r="B107" s="288"/>
      <c r="C107" s="288" t="s">
        <v>2195</v>
      </c>
      <c r="D107" s="28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206D-5E0A-472E-8318-A9DCBE141BEB}">
  <dimension ref="A1:H117"/>
  <sheetViews>
    <sheetView showGridLines="0" workbookViewId="0">
      <pane ySplit="4" topLeftCell="A116" activePane="bottomLeft" state="frozen"/>
      <selection activeCell="A2" sqref="A2:XFD2"/>
      <selection pane="bottomLeft" activeCell="B117" sqref="B117:D117"/>
    </sheetView>
  </sheetViews>
  <sheetFormatPr defaultRowHeight="14.5" x14ac:dyDescent="0.35"/>
  <cols>
    <col min="1" max="1" width="50.453125" customWidth="1"/>
    <col min="2" max="2" width="21.54296875" customWidth="1"/>
    <col min="3" max="3" width="26.6328125" customWidth="1"/>
    <col min="4" max="4" width="21.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55</v>
      </c>
      <c r="B1" s="151"/>
      <c r="C1" s="151"/>
      <c r="D1" s="151"/>
      <c r="E1" s="151"/>
      <c r="F1" s="151"/>
      <c r="G1" s="151"/>
      <c r="H1" s="50" t="str">
        <f>HYPERLINK("[EDEL_Portfolio Monthly Notes 31-Oct-2022.xlsx]Index!A1","Index")</f>
        <v>Index</v>
      </c>
    </row>
    <row r="2" spans="1:8" ht="31" customHeight="1" x14ac:dyDescent="0.35">
      <c r="A2" s="151" t="s">
        <v>56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1346848</v>
      </c>
      <c r="E8" s="14">
        <v>12238.81</v>
      </c>
      <c r="F8" s="15">
        <v>7.4800000000000005E-2</v>
      </c>
      <c r="G8" s="15"/>
    </row>
    <row r="9" spans="1:8" x14ac:dyDescent="0.35">
      <c r="A9" s="12" t="s">
        <v>863</v>
      </c>
      <c r="B9" s="30" t="s">
        <v>864</v>
      </c>
      <c r="C9" s="30" t="s">
        <v>865</v>
      </c>
      <c r="D9" s="13">
        <v>239188</v>
      </c>
      <c r="E9" s="14">
        <v>6098.34</v>
      </c>
      <c r="F9" s="15">
        <v>3.73E-2</v>
      </c>
      <c r="G9" s="15"/>
    </row>
    <row r="10" spans="1:8" x14ac:dyDescent="0.35">
      <c r="A10" s="12" t="s">
        <v>916</v>
      </c>
      <c r="B10" s="30" t="s">
        <v>917</v>
      </c>
      <c r="C10" s="30" t="s">
        <v>862</v>
      </c>
      <c r="D10" s="13">
        <v>666248</v>
      </c>
      <c r="E10" s="14">
        <v>6036.21</v>
      </c>
      <c r="F10" s="15">
        <v>3.6900000000000002E-2</v>
      </c>
      <c r="G10" s="15"/>
    </row>
    <row r="11" spans="1:8" x14ac:dyDescent="0.35">
      <c r="A11" s="12" t="s">
        <v>961</v>
      </c>
      <c r="B11" s="30" t="s">
        <v>962</v>
      </c>
      <c r="C11" s="30" t="s">
        <v>862</v>
      </c>
      <c r="D11" s="13">
        <v>934051</v>
      </c>
      <c r="E11" s="14">
        <v>5359.58</v>
      </c>
      <c r="F11" s="15">
        <v>3.2800000000000003E-2</v>
      </c>
      <c r="G11" s="15"/>
    </row>
    <row r="12" spans="1:8" x14ac:dyDescent="0.35">
      <c r="A12" s="12" t="s">
        <v>975</v>
      </c>
      <c r="B12" s="30" t="s">
        <v>976</v>
      </c>
      <c r="C12" s="30" t="s">
        <v>911</v>
      </c>
      <c r="D12" s="13">
        <v>338738</v>
      </c>
      <c r="E12" s="14">
        <v>5208.6000000000004</v>
      </c>
      <c r="F12" s="15">
        <v>3.1800000000000002E-2</v>
      </c>
      <c r="G12" s="15"/>
    </row>
    <row r="13" spans="1:8" x14ac:dyDescent="0.35">
      <c r="A13" s="12" t="s">
        <v>894</v>
      </c>
      <c r="B13" s="30" t="s">
        <v>895</v>
      </c>
      <c r="C13" s="30" t="s">
        <v>862</v>
      </c>
      <c r="D13" s="13">
        <v>344202</v>
      </c>
      <c r="E13" s="14">
        <v>5151.67</v>
      </c>
      <c r="F13" s="15">
        <v>3.15E-2</v>
      </c>
      <c r="G13" s="15"/>
    </row>
    <row r="14" spans="1:8" x14ac:dyDescent="0.35">
      <c r="A14" s="12" t="s">
        <v>1046</v>
      </c>
      <c r="B14" s="30" t="s">
        <v>1047</v>
      </c>
      <c r="C14" s="30" t="s">
        <v>1048</v>
      </c>
      <c r="D14" s="13">
        <v>282482</v>
      </c>
      <c r="E14" s="14">
        <v>4316.04</v>
      </c>
      <c r="F14" s="15">
        <v>2.64E-2</v>
      </c>
      <c r="G14" s="15"/>
    </row>
    <row r="15" spans="1:8" x14ac:dyDescent="0.35">
      <c r="A15" s="12" t="s">
        <v>1091</v>
      </c>
      <c r="B15" s="30" t="s">
        <v>1092</v>
      </c>
      <c r="C15" s="30" t="s">
        <v>934</v>
      </c>
      <c r="D15" s="13">
        <v>127371</v>
      </c>
      <c r="E15" s="14">
        <v>3884.5</v>
      </c>
      <c r="F15" s="15">
        <v>2.3699999999999999E-2</v>
      </c>
      <c r="G15" s="15"/>
    </row>
    <row r="16" spans="1:8" x14ac:dyDescent="0.35">
      <c r="A16" s="12" t="s">
        <v>959</v>
      </c>
      <c r="B16" s="30" t="s">
        <v>960</v>
      </c>
      <c r="C16" s="30" t="s">
        <v>885</v>
      </c>
      <c r="D16" s="13">
        <v>53188</v>
      </c>
      <c r="E16" s="14">
        <v>3799.8</v>
      </c>
      <c r="F16" s="15">
        <v>2.3199999999999998E-2</v>
      </c>
      <c r="G16" s="15"/>
    </row>
    <row r="17" spans="1:7" x14ac:dyDescent="0.35">
      <c r="A17" s="12" t="s">
        <v>1087</v>
      </c>
      <c r="B17" s="30" t="s">
        <v>1088</v>
      </c>
      <c r="C17" s="30" t="s">
        <v>931</v>
      </c>
      <c r="D17" s="13">
        <v>80656</v>
      </c>
      <c r="E17" s="14">
        <v>3671.26</v>
      </c>
      <c r="F17" s="15">
        <v>2.24E-2</v>
      </c>
      <c r="G17" s="15"/>
    </row>
    <row r="18" spans="1:7" x14ac:dyDescent="0.35">
      <c r="A18" s="12" t="s">
        <v>938</v>
      </c>
      <c r="B18" s="30" t="s">
        <v>939</v>
      </c>
      <c r="C18" s="30" t="s">
        <v>940</v>
      </c>
      <c r="D18" s="13">
        <v>252953</v>
      </c>
      <c r="E18" s="14">
        <v>3409.55</v>
      </c>
      <c r="F18" s="15">
        <v>2.0799999999999999E-2</v>
      </c>
      <c r="G18" s="15"/>
    </row>
    <row r="19" spans="1:7" x14ac:dyDescent="0.35">
      <c r="A19" s="12" t="s">
        <v>1440</v>
      </c>
      <c r="B19" s="30" t="s">
        <v>1456</v>
      </c>
      <c r="C19" s="30" t="s">
        <v>988</v>
      </c>
      <c r="D19" s="13">
        <v>402418</v>
      </c>
      <c r="E19" s="14">
        <v>3348.12</v>
      </c>
      <c r="F19" s="15">
        <v>2.0500000000000001E-2</v>
      </c>
      <c r="G19" s="15"/>
    </row>
    <row r="20" spans="1:7" x14ac:dyDescent="0.35">
      <c r="A20" s="12" t="s">
        <v>883</v>
      </c>
      <c r="B20" s="30" t="s">
        <v>884</v>
      </c>
      <c r="C20" s="30" t="s">
        <v>885</v>
      </c>
      <c r="D20" s="13">
        <v>130331</v>
      </c>
      <c r="E20" s="14">
        <v>3218.92</v>
      </c>
      <c r="F20" s="15">
        <v>1.9699999999999999E-2</v>
      </c>
      <c r="G20" s="15"/>
    </row>
    <row r="21" spans="1:7" x14ac:dyDescent="0.35">
      <c r="A21" s="12" t="s">
        <v>1042</v>
      </c>
      <c r="B21" s="30" t="s">
        <v>1043</v>
      </c>
      <c r="C21" s="30" t="s">
        <v>943</v>
      </c>
      <c r="D21" s="13">
        <v>312970</v>
      </c>
      <c r="E21" s="14">
        <v>3182.59</v>
      </c>
      <c r="F21" s="15">
        <v>1.95E-2</v>
      </c>
      <c r="G21" s="15"/>
    </row>
    <row r="22" spans="1:7" x14ac:dyDescent="0.35">
      <c r="A22" s="12" t="s">
        <v>989</v>
      </c>
      <c r="B22" s="30" t="s">
        <v>990</v>
      </c>
      <c r="C22" s="30" t="s">
        <v>885</v>
      </c>
      <c r="D22" s="13">
        <v>430094</v>
      </c>
      <c r="E22" s="14">
        <v>3050.87</v>
      </c>
      <c r="F22" s="15">
        <v>1.8700000000000001E-2</v>
      </c>
      <c r="G22" s="15"/>
    </row>
    <row r="23" spans="1:7" x14ac:dyDescent="0.35">
      <c r="A23" s="12" t="s">
        <v>1020</v>
      </c>
      <c r="B23" s="30" t="s">
        <v>1021</v>
      </c>
      <c r="C23" s="30" t="s">
        <v>1022</v>
      </c>
      <c r="D23" s="13">
        <v>146726</v>
      </c>
      <c r="E23" s="14">
        <v>2968.41</v>
      </c>
      <c r="F23" s="15">
        <v>1.8100000000000002E-2</v>
      </c>
      <c r="G23" s="15"/>
    </row>
    <row r="24" spans="1:7" x14ac:dyDescent="0.35">
      <c r="A24" s="12" t="s">
        <v>1180</v>
      </c>
      <c r="B24" s="30" t="s">
        <v>1181</v>
      </c>
      <c r="C24" s="30" t="s">
        <v>958</v>
      </c>
      <c r="D24" s="13">
        <v>812905</v>
      </c>
      <c r="E24" s="14">
        <v>2945.15</v>
      </c>
      <c r="F24" s="15">
        <v>1.7999999999999999E-2</v>
      </c>
      <c r="G24" s="15"/>
    </row>
    <row r="25" spans="1:7" x14ac:dyDescent="0.35">
      <c r="A25" s="12" t="s">
        <v>896</v>
      </c>
      <c r="B25" s="30" t="s">
        <v>897</v>
      </c>
      <c r="C25" s="30" t="s">
        <v>898</v>
      </c>
      <c r="D25" s="13">
        <v>29893</v>
      </c>
      <c r="E25" s="14">
        <v>2848.09</v>
      </c>
      <c r="F25" s="15">
        <v>1.7399999999999999E-2</v>
      </c>
      <c r="G25" s="15"/>
    </row>
    <row r="26" spans="1:7" x14ac:dyDescent="0.35">
      <c r="A26" s="12" t="s">
        <v>1532</v>
      </c>
      <c r="B26" s="30" t="s">
        <v>1533</v>
      </c>
      <c r="C26" s="30" t="s">
        <v>940</v>
      </c>
      <c r="D26" s="13">
        <v>263187</v>
      </c>
      <c r="E26" s="14">
        <v>2839.66</v>
      </c>
      <c r="F26" s="15">
        <v>1.7399999999999999E-2</v>
      </c>
      <c r="G26" s="15"/>
    </row>
    <row r="27" spans="1:7" x14ac:dyDescent="0.35">
      <c r="A27" s="12" t="s">
        <v>1077</v>
      </c>
      <c r="B27" s="30" t="s">
        <v>1078</v>
      </c>
      <c r="C27" s="30" t="s">
        <v>862</v>
      </c>
      <c r="D27" s="13">
        <v>2085049</v>
      </c>
      <c r="E27" s="14">
        <v>2741.84</v>
      </c>
      <c r="F27" s="15">
        <v>1.6799999999999999E-2</v>
      </c>
      <c r="G27" s="15"/>
    </row>
    <row r="28" spans="1:7" x14ac:dyDescent="0.35">
      <c r="A28" s="12" t="s">
        <v>948</v>
      </c>
      <c r="B28" s="30" t="s">
        <v>949</v>
      </c>
      <c r="C28" s="30" t="s">
        <v>950</v>
      </c>
      <c r="D28" s="13">
        <v>734686</v>
      </c>
      <c r="E28" s="14">
        <v>2561.85</v>
      </c>
      <c r="F28" s="15">
        <v>1.5699999999999999E-2</v>
      </c>
      <c r="G28" s="15"/>
    </row>
    <row r="29" spans="1:7" x14ac:dyDescent="0.35">
      <c r="A29" s="12" t="s">
        <v>1137</v>
      </c>
      <c r="B29" s="30" t="s">
        <v>1138</v>
      </c>
      <c r="C29" s="30" t="s">
        <v>898</v>
      </c>
      <c r="D29" s="13">
        <v>592756</v>
      </c>
      <c r="E29" s="14">
        <v>2446.6</v>
      </c>
      <c r="F29" s="15">
        <v>1.4999999999999999E-2</v>
      </c>
      <c r="G29" s="15"/>
    </row>
    <row r="30" spans="1:7" x14ac:dyDescent="0.35">
      <c r="A30" s="12" t="s">
        <v>1411</v>
      </c>
      <c r="B30" s="30" t="s">
        <v>1412</v>
      </c>
      <c r="C30" s="30" t="s">
        <v>953</v>
      </c>
      <c r="D30" s="13">
        <v>436180</v>
      </c>
      <c r="E30" s="14">
        <v>2340.98</v>
      </c>
      <c r="F30" s="15">
        <v>1.43E-2</v>
      </c>
      <c r="G30" s="15"/>
    </row>
    <row r="31" spans="1:7" x14ac:dyDescent="0.35">
      <c r="A31" s="12" t="s">
        <v>1547</v>
      </c>
      <c r="B31" s="30" t="s">
        <v>1548</v>
      </c>
      <c r="C31" s="30" t="s">
        <v>958</v>
      </c>
      <c r="D31" s="13">
        <v>49290</v>
      </c>
      <c r="E31" s="14">
        <v>2226.23</v>
      </c>
      <c r="F31" s="15">
        <v>1.3599999999999999E-2</v>
      </c>
      <c r="G31" s="15"/>
    </row>
    <row r="32" spans="1:7" x14ac:dyDescent="0.35">
      <c r="A32" s="12" t="s">
        <v>1195</v>
      </c>
      <c r="B32" s="30" t="s">
        <v>1196</v>
      </c>
      <c r="C32" s="30" t="s">
        <v>995</v>
      </c>
      <c r="D32" s="13">
        <v>403274</v>
      </c>
      <c r="E32" s="14">
        <v>2091.38</v>
      </c>
      <c r="F32" s="15">
        <v>1.2800000000000001E-2</v>
      </c>
      <c r="G32" s="15"/>
    </row>
    <row r="33" spans="1:7" x14ac:dyDescent="0.35">
      <c r="A33" s="12" t="s">
        <v>1143</v>
      </c>
      <c r="B33" s="30" t="s">
        <v>1144</v>
      </c>
      <c r="C33" s="30" t="s">
        <v>950</v>
      </c>
      <c r="D33" s="13">
        <v>81879</v>
      </c>
      <c r="E33" s="14">
        <v>2088.4899999999998</v>
      </c>
      <c r="F33" s="15">
        <v>1.2800000000000001E-2</v>
      </c>
      <c r="G33" s="15"/>
    </row>
    <row r="34" spans="1:7" x14ac:dyDescent="0.35">
      <c r="A34" s="12" t="s">
        <v>1421</v>
      </c>
      <c r="B34" s="30" t="s">
        <v>1422</v>
      </c>
      <c r="C34" s="30" t="s">
        <v>1015</v>
      </c>
      <c r="D34" s="13">
        <v>416026</v>
      </c>
      <c r="E34" s="14">
        <v>2078.2600000000002</v>
      </c>
      <c r="F34" s="15">
        <v>1.2699999999999999E-2</v>
      </c>
      <c r="G34" s="15"/>
    </row>
    <row r="35" spans="1:7" x14ac:dyDescent="0.35">
      <c r="A35" s="12" t="s">
        <v>923</v>
      </c>
      <c r="B35" s="30" t="s">
        <v>924</v>
      </c>
      <c r="C35" s="30" t="s">
        <v>877</v>
      </c>
      <c r="D35" s="13">
        <v>1937283</v>
      </c>
      <c r="E35" s="14">
        <v>2069.9899999999998</v>
      </c>
      <c r="F35" s="15">
        <v>1.2699999999999999E-2</v>
      </c>
      <c r="G35" s="15"/>
    </row>
    <row r="36" spans="1:7" x14ac:dyDescent="0.35">
      <c r="A36" s="12" t="s">
        <v>1167</v>
      </c>
      <c r="B36" s="30" t="s">
        <v>1168</v>
      </c>
      <c r="C36" s="30" t="s">
        <v>974</v>
      </c>
      <c r="D36" s="13">
        <v>320294</v>
      </c>
      <c r="E36" s="14">
        <v>1953.63</v>
      </c>
      <c r="F36" s="15">
        <v>1.1900000000000001E-2</v>
      </c>
      <c r="G36" s="15"/>
    </row>
    <row r="37" spans="1:7" x14ac:dyDescent="0.35">
      <c r="A37" s="12" t="s">
        <v>1040</v>
      </c>
      <c r="B37" s="30" t="s">
        <v>1041</v>
      </c>
      <c r="C37" s="30" t="s">
        <v>908</v>
      </c>
      <c r="D37" s="13">
        <v>28325</v>
      </c>
      <c r="E37" s="14">
        <v>1902.01</v>
      </c>
      <c r="F37" s="15">
        <v>1.1599999999999999E-2</v>
      </c>
      <c r="G37" s="15"/>
    </row>
    <row r="38" spans="1:7" x14ac:dyDescent="0.35">
      <c r="A38" s="12" t="s">
        <v>1197</v>
      </c>
      <c r="B38" s="30" t="s">
        <v>1198</v>
      </c>
      <c r="C38" s="30" t="s">
        <v>1199</v>
      </c>
      <c r="D38" s="13">
        <v>3809</v>
      </c>
      <c r="E38" s="14">
        <v>1895.69</v>
      </c>
      <c r="F38" s="15">
        <v>1.1599999999999999E-2</v>
      </c>
      <c r="G38" s="15"/>
    </row>
    <row r="39" spans="1:7" x14ac:dyDescent="0.35">
      <c r="A39" s="12" t="s">
        <v>1063</v>
      </c>
      <c r="B39" s="30" t="s">
        <v>1064</v>
      </c>
      <c r="C39" s="30" t="s">
        <v>943</v>
      </c>
      <c r="D39" s="13">
        <v>404635</v>
      </c>
      <c r="E39" s="14">
        <v>1839.27</v>
      </c>
      <c r="F39" s="15">
        <v>1.12E-2</v>
      </c>
      <c r="G39" s="15"/>
    </row>
    <row r="40" spans="1:7" x14ac:dyDescent="0.35">
      <c r="A40" s="12" t="s">
        <v>1549</v>
      </c>
      <c r="B40" s="30" t="s">
        <v>1550</v>
      </c>
      <c r="C40" s="30" t="s">
        <v>1010</v>
      </c>
      <c r="D40" s="13">
        <v>382767</v>
      </c>
      <c r="E40" s="14">
        <v>1814.51</v>
      </c>
      <c r="F40" s="15">
        <v>1.11E-2</v>
      </c>
      <c r="G40" s="15"/>
    </row>
    <row r="41" spans="1:7" x14ac:dyDescent="0.35">
      <c r="A41" s="12" t="s">
        <v>1102</v>
      </c>
      <c r="B41" s="30" t="s">
        <v>1103</v>
      </c>
      <c r="C41" s="30" t="s">
        <v>911</v>
      </c>
      <c r="D41" s="13">
        <v>47719</v>
      </c>
      <c r="E41" s="14">
        <v>1762.29</v>
      </c>
      <c r="F41" s="15">
        <v>1.0800000000000001E-2</v>
      </c>
      <c r="G41" s="15"/>
    </row>
    <row r="42" spans="1:7" x14ac:dyDescent="0.35">
      <c r="A42" s="12" t="s">
        <v>1536</v>
      </c>
      <c r="B42" s="30" t="s">
        <v>1537</v>
      </c>
      <c r="C42" s="30" t="s">
        <v>1015</v>
      </c>
      <c r="D42" s="13">
        <v>121873</v>
      </c>
      <c r="E42" s="14">
        <v>1740.16</v>
      </c>
      <c r="F42" s="15">
        <v>1.06E-2</v>
      </c>
      <c r="G42" s="15"/>
    </row>
    <row r="43" spans="1:7" x14ac:dyDescent="0.35">
      <c r="A43" s="12" t="s">
        <v>1133</v>
      </c>
      <c r="B43" s="30" t="s">
        <v>1134</v>
      </c>
      <c r="C43" s="30" t="s">
        <v>971</v>
      </c>
      <c r="D43" s="13">
        <v>378134</v>
      </c>
      <c r="E43" s="14">
        <v>1738.85</v>
      </c>
      <c r="F43" s="15">
        <v>1.06E-2</v>
      </c>
      <c r="G43" s="15"/>
    </row>
    <row r="44" spans="1:7" x14ac:dyDescent="0.35">
      <c r="A44" s="12" t="s">
        <v>1106</v>
      </c>
      <c r="B44" s="30" t="s">
        <v>1107</v>
      </c>
      <c r="C44" s="30" t="s">
        <v>983</v>
      </c>
      <c r="D44" s="13">
        <v>135725</v>
      </c>
      <c r="E44" s="14">
        <v>1718.21</v>
      </c>
      <c r="F44" s="15">
        <v>1.0500000000000001E-2</v>
      </c>
      <c r="G44" s="15"/>
    </row>
    <row r="45" spans="1:7" x14ac:dyDescent="0.35">
      <c r="A45" s="12" t="s">
        <v>979</v>
      </c>
      <c r="B45" s="30" t="s">
        <v>980</v>
      </c>
      <c r="C45" s="30" t="s">
        <v>888</v>
      </c>
      <c r="D45" s="13">
        <v>51446</v>
      </c>
      <c r="E45" s="14">
        <v>1667.85</v>
      </c>
      <c r="F45" s="15">
        <v>1.0200000000000001E-2</v>
      </c>
      <c r="G45" s="15"/>
    </row>
    <row r="46" spans="1:7" x14ac:dyDescent="0.35">
      <c r="A46" s="12" t="s">
        <v>1141</v>
      </c>
      <c r="B46" s="30" t="s">
        <v>1142</v>
      </c>
      <c r="C46" s="30" t="s">
        <v>931</v>
      </c>
      <c r="D46" s="13">
        <v>19788</v>
      </c>
      <c r="E46" s="14">
        <v>1656.91</v>
      </c>
      <c r="F46" s="15">
        <v>1.01E-2</v>
      </c>
      <c r="G46" s="15"/>
    </row>
    <row r="47" spans="1:7" x14ac:dyDescent="0.35">
      <c r="A47" s="12" t="s">
        <v>866</v>
      </c>
      <c r="B47" s="30" t="s">
        <v>867</v>
      </c>
      <c r="C47" s="30" t="s">
        <v>868</v>
      </c>
      <c r="D47" s="13">
        <v>1049745</v>
      </c>
      <c r="E47" s="14">
        <v>1609.26</v>
      </c>
      <c r="F47" s="15">
        <v>9.7999999999999997E-3</v>
      </c>
      <c r="G47" s="15"/>
    </row>
    <row r="48" spans="1:7" x14ac:dyDescent="0.35">
      <c r="A48" s="12" t="s">
        <v>1427</v>
      </c>
      <c r="B48" s="30" t="s">
        <v>1428</v>
      </c>
      <c r="C48" s="30" t="s">
        <v>1048</v>
      </c>
      <c r="D48" s="13">
        <v>53215</v>
      </c>
      <c r="E48" s="14">
        <v>1601.88</v>
      </c>
      <c r="F48" s="15">
        <v>9.7999999999999997E-3</v>
      </c>
      <c r="G48" s="15"/>
    </row>
    <row r="49" spans="1:7" x14ac:dyDescent="0.35">
      <c r="A49" s="12" t="s">
        <v>899</v>
      </c>
      <c r="B49" s="30" t="s">
        <v>900</v>
      </c>
      <c r="C49" s="30" t="s">
        <v>901</v>
      </c>
      <c r="D49" s="13">
        <v>679055</v>
      </c>
      <c r="E49" s="14">
        <v>1534.66</v>
      </c>
      <c r="F49" s="15">
        <v>9.4000000000000004E-3</v>
      </c>
      <c r="G49" s="15"/>
    </row>
    <row r="50" spans="1:7" x14ac:dyDescent="0.35">
      <c r="A50" s="12" t="s">
        <v>1098</v>
      </c>
      <c r="B50" s="30" t="s">
        <v>1099</v>
      </c>
      <c r="C50" s="30" t="s">
        <v>885</v>
      </c>
      <c r="D50" s="13">
        <v>369253</v>
      </c>
      <c r="E50" s="14">
        <v>1496.58</v>
      </c>
      <c r="F50" s="15">
        <v>9.1000000000000004E-3</v>
      </c>
      <c r="G50" s="15"/>
    </row>
    <row r="51" spans="1:7" x14ac:dyDescent="0.35">
      <c r="A51" s="12" t="s">
        <v>1049</v>
      </c>
      <c r="B51" s="30" t="s">
        <v>1050</v>
      </c>
      <c r="C51" s="30" t="s">
        <v>908</v>
      </c>
      <c r="D51" s="13">
        <v>91135</v>
      </c>
      <c r="E51" s="14">
        <v>1459.03</v>
      </c>
      <c r="F51" s="15">
        <v>8.8999999999999999E-3</v>
      </c>
      <c r="G51" s="15"/>
    </row>
    <row r="52" spans="1:7" x14ac:dyDescent="0.35">
      <c r="A52" s="12" t="s">
        <v>1526</v>
      </c>
      <c r="B52" s="30" t="s">
        <v>1527</v>
      </c>
      <c r="C52" s="30" t="s">
        <v>953</v>
      </c>
      <c r="D52" s="13">
        <v>1618123</v>
      </c>
      <c r="E52" s="14">
        <v>1415.86</v>
      </c>
      <c r="F52" s="15">
        <v>8.6999999999999994E-3</v>
      </c>
      <c r="G52" s="15"/>
    </row>
    <row r="53" spans="1:7" x14ac:dyDescent="0.35">
      <c r="A53" s="12" t="s">
        <v>1446</v>
      </c>
      <c r="B53" s="30" t="s">
        <v>1447</v>
      </c>
      <c r="C53" s="30" t="s">
        <v>908</v>
      </c>
      <c r="D53" s="13">
        <v>51333</v>
      </c>
      <c r="E53" s="14">
        <v>1392.48</v>
      </c>
      <c r="F53" s="15">
        <v>8.5000000000000006E-3</v>
      </c>
      <c r="G53" s="15"/>
    </row>
    <row r="54" spans="1:7" x14ac:dyDescent="0.35">
      <c r="A54" s="12" t="s">
        <v>1545</v>
      </c>
      <c r="B54" s="30" t="s">
        <v>1546</v>
      </c>
      <c r="C54" s="30" t="s">
        <v>958</v>
      </c>
      <c r="D54" s="13">
        <v>223409</v>
      </c>
      <c r="E54" s="14">
        <v>1336.21</v>
      </c>
      <c r="F54" s="15">
        <v>8.2000000000000007E-3</v>
      </c>
      <c r="G54" s="15"/>
    </row>
    <row r="55" spans="1:7" x14ac:dyDescent="0.35">
      <c r="A55" s="12" t="s">
        <v>1114</v>
      </c>
      <c r="B55" s="30" t="s">
        <v>1115</v>
      </c>
      <c r="C55" s="30" t="s">
        <v>943</v>
      </c>
      <c r="D55" s="13">
        <v>29950</v>
      </c>
      <c r="E55" s="14">
        <v>1327.89</v>
      </c>
      <c r="F55" s="15">
        <v>8.0999999999999996E-3</v>
      </c>
      <c r="G55" s="15"/>
    </row>
    <row r="56" spans="1:7" x14ac:dyDescent="0.35">
      <c r="A56" s="12" t="s">
        <v>1522</v>
      </c>
      <c r="B56" s="30" t="s">
        <v>1523</v>
      </c>
      <c r="C56" s="30" t="s">
        <v>943</v>
      </c>
      <c r="D56" s="13">
        <v>113713</v>
      </c>
      <c r="E56" s="14">
        <v>1327.49</v>
      </c>
      <c r="F56" s="15">
        <v>8.0999999999999996E-3</v>
      </c>
      <c r="G56" s="15"/>
    </row>
    <row r="57" spans="1:7" x14ac:dyDescent="0.35">
      <c r="A57" s="12" t="s">
        <v>1051</v>
      </c>
      <c r="B57" s="30" t="s">
        <v>1052</v>
      </c>
      <c r="C57" s="30" t="s">
        <v>885</v>
      </c>
      <c r="D57" s="13">
        <v>244626</v>
      </c>
      <c r="E57" s="14">
        <v>1282.7</v>
      </c>
      <c r="F57" s="15">
        <v>7.7999999999999996E-3</v>
      </c>
      <c r="G57" s="15"/>
    </row>
    <row r="58" spans="1:7" x14ac:dyDescent="0.35">
      <c r="A58" s="12" t="s">
        <v>1551</v>
      </c>
      <c r="B58" s="30" t="s">
        <v>1552</v>
      </c>
      <c r="C58" s="30" t="s">
        <v>958</v>
      </c>
      <c r="D58" s="13">
        <v>261877</v>
      </c>
      <c r="E58" s="14">
        <v>1272.72</v>
      </c>
      <c r="F58" s="15">
        <v>7.7999999999999996E-3</v>
      </c>
      <c r="G58" s="15"/>
    </row>
    <row r="59" spans="1:7" x14ac:dyDescent="0.35">
      <c r="A59" s="12" t="s">
        <v>1541</v>
      </c>
      <c r="B59" s="30" t="s">
        <v>1542</v>
      </c>
      <c r="C59" s="30" t="s">
        <v>1540</v>
      </c>
      <c r="D59" s="13">
        <v>66852</v>
      </c>
      <c r="E59" s="14">
        <v>1233.79</v>
      </c>
      <c r="F59" s="15">
        <v>7.4999999999999997E-3</v>
      </c>
      <c r="G59" s="15"/>
    </row>
    <row r="60" spans="1:7" x14ac:dyDescent="0.35">
      <c r="A60" s="12" t="s">
        <v>1553</v>
      </c>
      <c r="B60" s="30" t="s">
        <v>1554</v>
      </c>
      <c r="C60" s="30" t="s">
        <v>922</v>
      </c>
      <c r="D60" s="13">
        <v>227849</v>
      </c>
      <c r="E60" s="14">
        <v>1227.08</v>
      </c>
      <c r="F60" s="15">
        <v>7.4999999999999997E-3</v>
      </c>
      <c r="G60" s="15"/>
    </row>
    <row r="61" spans="1:7" x14ac:dyDescent="0.35">
      <c r="A61" s="12" t="s">
        <v>918</v>
      </c>
      <c r="B61" s="30" t="s">
        <v>919</v>
      </c>
      <c r="C61" s="30" t="s">
        <v>911</v>
      </c>
      <c r="D61" s="13">
        <v>38021</v>
      </c>
      <c r="E61" s="14">
        <v>1214.07</v>
      </c>
      <c r="F61" s="15">
        <v>7.4000000000000003E-3</v>
      </c>
      <c r="G61" s="15"/>
    </row>
    <row r="62" spans="1:7" x14ac:dyDescent="0.35">
      <c r="A62" s="12" t="s">
        <v>1055</v>
      </c>
      <c r="B62" s="30" t="s">
        <v>1056</v>
      </c>
      <c r="C62" s="30" t="s">
        <v>1057</v>
      </c>
      <c r="D62" s="13">
        <v>26541</v>
      </c>
      <c r="E62" s="14">
        <v>1198.99</v>
      </c>
      <c r="F62" s="15">
        <v>7.3000000000000001E-3</v>
      </c>
      <c r="G62" s="15"/>
    </row>
    <row r="63" spans="1:7" x14ac:dyDescent="0.35">
      <c r="A63" s="12" t="s">
        <v>872</v>
      </c>
      <c r="B63" s="30" t="s">
        <v>873</v>
      </c>
      <c r="C63" s="30" t="s">
        <v>874</v>
      </c>
      <c r="D63" s="13">
        <v>286235</v>
      </c>
      <c r="E63" s="14">
        <v>1161.1099999999999</v>
      </c>
      <c r="F63" s="15">
        <v>7.1000000000000004E-3</v>
      </c>
      <c r="G63" s="15"/>
    </row>
    <row r="64" spans="1:7" x14ac:dyDescent="0.35">
      <c r="A64" s="12" t="s">
        <v>1423</v>
      </c>
      <c r="B64" s="30" t="s">
        <v>1424</v>
      </c>
      <c r="C64" s="30" t="s">
        <v>958</v>
      </c>
      <c r="D64" s="13">
        <v>101677</v>
      </c>
      <c r="E64" s="14">
        <v>1099.3800000000001</v>
      </c>
      <c r="F64" s="15">
        <v>6.7000000000000002E-3</v>
      </c>
      <c r="G64" s="15"/>
    </row>
    <row r="65" spans="1:7" x14ac:dyDescent="0.35">
      <c r="A65" s="12" t="s">
        <v>1555</v>
      </c>
      <c r="B65" s="30" t="s">
        <v>1556</v>
      </c>
      <c r="C65" s="30" t="s">
        <v>862</v>
      </c>
      <c r="D65" s="13">
        <v>431861</v>
      </c>
      <c r="E65" s="14">
        <v>1096.5</v>
      </c>
      <c r="F65" s="15">
        <v>6.7000000000000002E-3</v>
      </c>
      <c r="G65" s="15"/>
    </row>
    <row r="66" spans="1:7" x14ac:dyDescent="0.35">
      <c r="A66" s="12" t="s">
        <v>1538</v>
      </c>
      <c r="B66" s="30" t="s">
        <v>1539</v>
      </c>
      <c r="C66" s="30" t="s">
        <v>1540</v>
      </c>
      <c r="D66" s="13">
        <v>237619</v>
      </c>
      <c r="E66" s="14">
        <v>981.84</v>
      </c>
      <c r="F66" s="15">
        <v>6.0000000000000001E-3</v>
      </c>
      <c r="G66" s="15"/>
    </row>
    <row r="67" spans="1:7" x14ac:dyDescent="0.35">
      <c r="A67" s="12" t="s">
        <v>1157</v>
      </c>
      <c r="B67" s="30" t="s">
        <v>1158</v>
      </c>
      <c r="C67" s="30" t="s">
        <v>953</v>
      </c>
      <c r="D67" s="13">
        <v>49915</v>
      </c>
      <c r="E67" s="14">
        <v>979.71</v>
      </c>
      <c r="F67" s="15">
        <v>6.0000000000000001E-3</v>
      </c>
      <c r="G67" s="15"/>
    </row>
    <row r="68" spans="1:7" x14ac:dyDescent="0.35">
      <c r="A68" s="12" t="s">
        <v>1524</v>
      </c>
      <c r="B68" s="30" t="s">
        <v>1525</v>
      </c>
      <c r="C68" s="30" t="s">
        <v>898</v>
      </c>
      <c r="D68" s="13">
        <v>36549</v>
      </c>
      <c r="E68" s="14">
        <v>978.36</v>
      </c>
      <c r="F68" s="15">
        <v>6.0000000000000001E-3</v>
      </c>
      <c r="G68" s="15"/>
    </row>
    <row r="69" spans="1:7" x14ac:dyDescent="0.35">
      <c r="A69" s="12" t="s">
        <v>1534</v>
      </c>
      <c r="B69" s="30" t="s">
        <v>1535</v>
      </c>
      <c r="C69" s="30" t="s">
        <v>868</v>
      </c>
      <c r="D69" s="13">
        <v>264163</v>
      </c>
      <c r="E69" s="14">
        <v>815.07</v>
      </c>
      <c r="F69" s="15">
        <v>5.0000000000000001E-3</v>
      </c>
      <c r="G69" s="15"/>
    </row>
    <row r="70" spans="1:7" x14ac:dyDescent="0.35">
      <c r="A70" s="12" t="s">
        <v>1151</v>
      </c>
      <c r="B70" s="30" t="s">
        <v>1152</v>
      </c>
      <c r="C70" s="30" t="s">
        <v>943</v>
      </c>
      <c r="D70" s="13">
        <v>21969</v>
      </c>
      <c r="E70" s="14">
        <v>792.84</v>
      </c>
      <c r="F70" s="15">
        <v>4.7999999999999996E-3</v>
      </c>
      <c r="G70" s="15"/>
    </row>
    <row r="71" spans="1:7" x14ac:dyDescent="0.35">
      <c r="A71" s="12" t="s">
        <v>909</v>
      </c>
      <c r="B71" s="30" t="s">
        <v>910</v>
      </c>
      <c r="C71" s="30" t="s">
        <v>911</v>
      </c>
      <c r="D71" s="13">
        <v>74867</v>
      </c>
      <c r="E71" s="14">
        <v>779.48</v>
      </c>
      <c r="F71" s="15">
        <v>4.7999999999999996E-3</v>
      </c>
      <c r="G71" s="15"/>
    </row>
    <row r="72" spans="1:7" x14ac:dyDescent="0.35">
      <c r="A72" s="12" t="s">
        <v>1036</v>
      </c>
      <c r="B72" s="30" t="s">
        <v>1037</v>
      </c>
      <c r="C72" s="30" t="s">
        <v>888</v>
      </c>
      <c r="D72" s="13">
        <v>221448</v>
      </c>
      <c r="E72" s="14">
        <v>722.81</v>
      </c>
      <c r="F72" s="15">
        <v>4.4000000000000003E-3</v>
      </c>
      <c r="G72" s="15"/>
    </row>
    <row r="73" spans="1:7" x14ac:dyDescent="0.35">
      <c r="A73" s="12" t="s">
        <v>1557</v>
      </c>
      <c r="B73" s="30" t="s">
        <v>1558</v>
      </c>
      <c r="C73" s="30" t="s">
        <v>922</v>
      </c>
      <c r="D73" s="13">
        <v>808616</v>
      </c>
      <c r="E73" s="14">
        <v>588.66999999999996</v>
      </c>
      <c r="F73" s="15">
        <v>3.5999999999999999E-3</v>
      </c>
      <c r="G73" s="15"/>
    </row>
    <row r="74" spans="1:7" x14ac:dyDescent="0.35">
      <c r="A74" s="12" t="s">
        <v>1543</v>
      </c>
      <c r="B74" s="30" t="s">
        <v>1544</v>
      </c>
      <c r="C74" s="30" t="s">
        <v>1540</v>
      </c>
      <c r="D74" s="13">
        <v>1418</v>
      </c>
      <c r="E74" s="14">
        <v>557.74</v>
      </c>
      <c r="F74" s="15">
        <v>3.3999999999999998E-3</v>
      </c>
      <c r="G74" s="15"/>
    </row>
    <row r="75" spans="1:7" x14ac:dyDescent="0.35">
      <c r="A75" s="12" t="s">
        <v>925</v>
      </c>
      <c r="B75" s="30" t="s">
        <v>926</v>
      </c>
      <c r="C75" s="30" t="s">
        <v>911</v>
      </c>
      <c r="D75" s="13">
        <v>45939</v>
      </c>
      <c r="E75" s="14">
        <v>488.52</v>
      </c>
      <c r="F75" s="15">
        <v>3.0000000000000001E-3</v>
      </c>
      <c r="G75" s="15"/>
    </row>
    <row r="76" spans="1:7" x14ac:dyDescent="0.35">
      <c r="A76" s="16" t="s">
        <v>102</v>
      </c>
      <c r="B76" s="31"/>
      <c r="C76" s="31"/>
      <c r="D76" s="17"/>
      <c r="E76" s="37">
        <v>156883.89000000001</v>
      </c>
      <c r="F76" s="38">
        <v>0.95889999999999997</v>
      </c>
      <c r="G76" s="20"/>
    </row>
    <row r="77" spans="1:7" x14ac:dyDescent="0.35">
      <c r="A77" s="16" t="s">
        <v>1206</v>
      </c>
      <c r="B77" s="30"/>
      <c r="C77" s="30"/>
      <c r="D77" s="13"/>
      <c r="E77" s="14"/>
      <c r="F77" s="15"/>
      <c r="G77" s="15"/>
    </row>
    <row r="78" spans="1:7" x14ac:dyDescent="0.35">
      <c r="A78" s="16" t="s">
        <v>102</v>
      </c>
      <c r="B78" s="30"/>
      <c r="C78" s="30"/>
      <c r="D78" s="13"/>
      <c r="E78" s="39" t="s">
        <v>96</v>
      </c>
      <c r="F78" s="40" t="s">
        <v>96</v>
      </c>
      <c r="G78" s="15"/>
    </row>
    <row r="79" spans="1:7" x14ac:dyDescent="0.35">
      <c r="A79" s="21" t="s">
        <v>129</v>
      </c>
      <c r="B79" s="32"/>
      <c r="C79" s="32"/>
      <c r="D79" s="22"/>
      <c r="E79" s="27">
        <v>156883.89000000001</v>
      </c>
      <c r="F79" s="28">
        <v>0.95889999999999997</v>
      </c>
      <c r="G79" s="20"/>
    </row>
    <row r="80" spans="1:7" x14ac:dyDescent="0.35">
      <c r="A80" s="12"/>
      <c r="B80" s="30"/>
      <c r="C80" s="30"/>
      <c r="D80" s="13"/>
      <c r="E80" s="14"/>
      <c r="F80" s="15"/>
      <c r="G80" s="15"/>
    </row>
    <row r="81" spans="1:7" x14ac:dyDescent="0.35">
      <c r="A81" s="12"/>
      <c r="B81" s="30"/>
      <c r="C81" s="30"/>
      <c r="D81" s="13"/>
      <c r="E81" s="14"/>
      <c r="F81" s="15"/>
      <c r="G81" s="15"/>
    </row>
    <row r="82" spans="1:7" x14ac:dyDescent="0.35">
      <c r="A82" s="16" t="s">
        <v>130</v>
      </c>
      <c r="B82" s="30"/>
      <c r="C82" s="30"/>
      <c r="D82" s="13"/>
      <c r="E82" s="14"/>
      <c r="F82" s="15"/>
      <c r="G82" s="15"/>
    </row>
    <row r="83" spans="1:7" x14ac:dyDescent="0.35">
      <c r="A83" s="12" t="s">
        <v>131</v>
      </c>
      <c r="B83" s="30"/>
      <c r="C83" s="30"/>
      <c r="D83" s="13"/>
      <c r="E83" s="14">
        <v>7016.83</v>
      </c>
      <c r="F83" s="15">
        <v>4.2900000000000001E-2</v>
      </c>
      <c r="G83" s="99">
        <v>6.1074000000000003E-2</v>
      </c>
    </row>
    <row r="84" spans="1:7" x14ac:dyDescent="0.35">
      <c r="A84" s="16" t="s">
        <v>102</v>
      </c>
      <c r="B84" s="31"/>
      <c r="C84" s="31"/>
      <c r="D84" s="17"/>
      <c r="E84" s="37">
        <v>7016.83</v>
      </c>
      <c r="F84" s="38">
        <v>4.2900000000000001E-2</v>
      </c>
      <c r="G84" s="100"/>
    </row>
    <row r="85" spans="1:7" x14ac:dyDescent="0.35">
      <c r="A85" s="12"/>
      <c r="B85" s="30"/>
      <c r="C85" s="30"/>
      <c r="D85" s="13"/>
      <c r="E85" s="14"/>
      <c r="F85" s="15"/>
      <c r="G85" s="99"/>
    </row>
    <row r="86" spans="1:7" x14ac:dyDescent="0.35">
      <c r="A86" s="21" t="s">
        <v>129</v>
      </c>
      <c r="B86" s="32"/>
      <c r="C86" s="32"/>
      <c r="D86" s="22"/>
      <c r="E86" s="18">
        <v>7016.83</v>
      </c>
      <c r="F86" s="19">
        <v>4.2900000000000001E-2</v>
      </c>
      <c r="G86" s="100"/>
    </row>
    <row r="87" spans="1:7" x14ac:dyDescent="0.35">
      <c r="A87" s="12" t="s">
        <v>132</v>
      </c>
      <c r="B87" s="30"/>
      <c r="C87" s="30"/>
      <c r="D87" s="13"/>
      <c r="E87" s="14">
        <v>1.1740976000000001</v>
      </c>
      <c r="F87" s="15">
        <v>6.9999999999999999E-6</v>
      </c>
      <c r="G87" s="99"/>
    </row>
    <row r="88" spans="1:7" x14ac:dyDescent="0.35">
      <c r="A88" s="12" t="s">
        <v>133</v>
      </c>
      <c r="B88" s="30"/>
      <c r="C88" s="30"/>
      <c r="D88" s="13"/>
      <c r="E88" s="23">
        <v>-319.82409760000002</v>
      </c>
      <c r="F88" s="24">
        <v>-1.807E-3</v>
      </c>
      <c r="G88" s="99">
        <v>6.1074000000000003E-2</v>
      </c>
    </row>
    <row r="89" spans="1:7" x14ac:dyDescent="0.35">
      <c r="A89" s="25" t="s">
        <v>134</v>
      </c>
      <c r="B89" s="33"/>
      <c r="C89" s="33"/>
      <c r="D89" s="26"/>
      <c r="E89" s="27">
        <v>163582.07</v>
      </c>
      <c r="F89" s="28">
        <v>1</v>
      </c>
      <c r="G89" s="28"/>
    </row>
    <row r="94" spans="1:7" x14ac:dyDescent="0.35">
      <c r="A94" s="1" t="s">
        <v>1981</v>
      </c>
    </row>
    <row r="95" spans="1:7" x14ac:dyDescent="0.35">
      <c r="A95" s="47" t="s">
        <v>1982</v>
      </c>
      <c r="B95" s="34" t="s">
        <v>96</v>
      </c>
    </row>
    <row r="96" spans="1:7" x14ac:dyDescent="0.35">
      <c r="A96" t="s">
        <v>1983</v>
      </c>
    </row>
    <row r="97" spans="1:7" x14ac:dyDescent="0.35">
      <c r="A97" t="s">
        <v>1984</v>
      </c>
      <c r="B97" t="s">
        <v>1985</v>
      </c>
      <c r="C97" t="s">
        <v>1985</v>
      </c>
    </row>
    <row r="98" spans="1:7" x14ac:dyDescent="0.35">
      <c r="B98" s="48">
        <v>44834</v>
      </c>
      <c r="C98" s="48">
        <v>44865</v>
      </c>
    </row>
    <row r="99" spans="1:7" x14ac:dyDescent="0.35">
      <c r="A99" t="s">
        <v>1989</v>
      </c>
      <c r="B99">
        <v>59.698999999999998</v>
      </c>
      <c r="C99">
        <v>61.853999999999999</v>
      </c>
      <c r="E99" s="2"/>
      <c r="G99"/>
    </row>
    <row r="100" spans="1:7" x14ac:dyDescent="0.35">
      <c r="A100" t="s">
        <v>1990</v>
      </c>
      <c r="B100">
        <v>23.155999999999999</v>
      </c>
      <c r="C100">
        <v>23.992000000000001</v>
      </c>
      <c r="E100" s="2"/>
      <c r="G100"/>
    </row>
    <row r="101" spans="1:7" x14ac:dyDescent="0.35">
      <c r="A101" t="s">
        <v>2014</v>
      </c>
      <c r="B101">
        <v>52.899000000000001</v>
      </c>
      <c r="C101">
        <v>54.728999999999999</v>
      </c>
      <c r="E101" s="2"/>
      <c r="G101"/>
    </row>
    <row r="102" spans="1:7" x14ac:dyDescent="0.35">
      <c r="A102" t="s">
        <v>2015</v>
      </c>
      <c r="B102">
        <v>20.175000000000001</v>
      </c>
      <c r="C102">
        <v>20.873000000000001</v>
      </c>
      <c r="E102" s="2"/>
      <c r="G102"/>
    </row>
    <row r="103" spans="1:7" x14ac:dyDescent="0.35">
      <c r="E103" s="2"/>
      <c r="G103"/>
    </row>
    <row r="104" spans="1:7" x14ac:dyDescent="0.35">
      <c r="A104" t="s">
        <v>2000</v>
      </c>
      <c r="B104" s="34" t="s">
        <v>96</v>
      </c>
    </row>
    <row r="105" spans="1:7" x14ac:dyDescent="0.35">
      <c r="A105" t="s">
        <v>2001</v>
      </c>
      <c r="B105" s="34" t="s">
        <v>96</v>
      </c>
    </row>
    <row r="106" spans="1:7" ht="29" x14ac:dyDescent="0.35">
      <c r="A106" s="47" t="s">
        <v>2002</v>
      </c>
      <c r="B106" s="34" t="s">
        <v>96</v>
      </c>
    </row>
    <row r="107" spans="1:7" ht="29" x14ac:dyDescent="0.35">
      <c r="A107" s="47" t="s">
        <v>2003</v>
      </c>
      <c r="B107" s="34" t="s">
        <v>96</v>
      </c>
    </row>
    <row r="108" spans="1:7" x14ac:dyDescent="0.35">
      <c r="A108" t="s">
        <v>2033</v>
      </c>
      <c r="B108" s="49">
        <v>0.23395299999999999</v>
      </c>
    </row>
    <row r="109" spans="1:7" ht="43.5" x14ac:dyDescent="0.35">
      <c r="A109" s="47" t="s">
        <v>2005</v>
      </c>
      <c r="B109" s="34" t="s">
        <v>96</v>
      </c>
    </row>
    <row r="110" spans="1:7" ht="29" x14ac:dyDescent="0.35">
      <c r="A110" s="47" t="s">
        <v>2006</v>
      </c>
      <c r="B110" s="34" t="s">
        <v>96</v>
      </c>
    </row>
    <row r="111" spans="1:7" ht="29" x14ac:dyDescent="0.35">
      <c r="A111" s="47" t="s">
        <v>2009</v>
      </c>
      <c r="B111" s="34" t="s">
        <v>96</v>
      </c>
    </row>
    <row r="112" spans="1:7" ht="29" x14ac:dyDescent="0.35">
      <c r="A112" s="47" t="s">
        <v>2135</v>
      </c>
      <c r="B112" s="34" t="s">
        <v>96</v>
      </c>
    </row>
    <row r="113" spans="1:4" ht="29" x14ac:dyDescent="0.35">
      <c r="A113" s="47" t="s">
        <v>2136</v>
      </c>
      <c r="B113" s="34" t="s">
        <v>96</v>
      </c>
    </row>
    <row r="116" spans="1:4" ht="29" x14ac:dyDescent="0.35">
      <c r="A116" s="291" t="s">
        <v>2154</v>
      </c>
      <c r="B116" s="292" t="s">
        <v>2155</v>
      </c>
      <c r="C116" s="292" t="s">
        <v>2156</v>
      </c>
      <c r="D116" s="296" t="s">
        <v>2157</v>
      </c>
    </row>
    <row r="117" spans="1:4" ht="70" customHeight="1" x14ac:dyDescent="0.35">
      <c r="A117" s="295" t="s">
        <v>2197</v>
      </c>
      <c r="B117" s="293"/>
      <c r="C117" s="294" t="s">
        <v>2198</v>
      </c>
      <c r="D117" s="293"/>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7088-D727-4593-BA2D-60FACD76AF80}">
  <dimension ref="A1:I124"/>
  <sheetViews>
    <sheetView showGridLines="0" workbookViewId="0">
      <pane ySplit="4" topLeftCell="A123" activePane="bottomLeft" state="frozen"/>
      <selection activeCell="A2" sqref="A2:XFD2"/>
      <selection pane="bottomLeft" activeCell="D124" sqref="D124"/>
    </sheetView>
  </sheetViews>
  <sheetFormatPr defaultRowHeight="14.5" x14ac:dyDescent="0.35"/>
  <cols>
    <col min="1" max="1" width="50.453125" customWidth="1"/>
    <col min="2" max="2" width="21.81640625" customWidth="1"/>
    <col min="3" max="3" width="26.6328125" customWidth="1"/>
    <col min="4" max="4" width="21.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9" ht="40.5" customHeight="1" x14ac:dyDescent="0.35">
      <c r="A1" s="151" t="s">
        <v>57</v>
      </c>
      <c r="B1" s="151"/>
      <c r="C1" s="151"/>
      <c r="D1" s="151"/>
      <c r="E1" s="151"/>
      <c r="F1" s="151"/>
      <c r="G1" s="151"/>
      <c r="H1" s="50" t="str">
        <f>HYPERLINK("[EDEL_Portfolio Monthly Notes 31-Oct-2022.xlsx]Index!A1","Index")</f>
        <v>Index</v>
      </c>
    </row>
    <row r="2" spans="1:9" ht="31" customHeight="1" x14ac:dyDescent="0.35">
      <c r="A2" s="151" t="s">
        <v>58</v>
      </c>
      <c r="B2" s="151"/>
      <c r="C2" s="151"/>
      <c r="D2" s="151"/>
      <c r="E2" s="151"/>
      <c r="F2" s="151"/>
      <c r="G2" s="151"/>
      <c r="I2" s="146" t="s">
        <v>1529</v>
      </c>
    </row>
    <row r="4" spans="1:9" ht="48" customHeight="1" x14ac:dyDescent="0.35">
      <c r="A4" s="3" t="s">
        <v>0</v>
      </c>
      <c r="B4" s="3" t="s">
        <v>1</v>
      </c>
      <c r="C4" s="3" t="s">
        <v>5</v>
      </c>
      <c r="D4" s="4" t="s">
        <v>2</v>
      </c>
      <c r="E4" s="5" t="s">
        <v>4</v>
      </c>
      <c r="F4" s="5" t="s">
        <v>3</v>
      </c>
      <c r="G4" s="6" t="s">
        <v>6</v>
      </c>
    </row>
    <row r="5" spans="1:9" x14ac:dyDescent="0.35">
      <c r="A5" s="7"/>
      <c r="B5" s="29"/>
      <c r="C5" s="29"/>
      <c r="D5" s="8"/>
      <c r="E5" s="9"/>
      <c r="F5" s="10"/>
      <c r="G5" s="11"/>
    </row>
    <row r="6" spans="1:9" x14ac:dyDescent="0.35">
      <c r="A6" s="16" t="s">
        <v>95</v>
      </c>
      <c r="B6" s="30"/>
      <c r="C6" s="30"/>
      <c r="D6" s="13"/>
      <c r="E6" s="14"/>
      <c r="F6" s="15"/>
      <c r="G6" s="15"/>
    </row>
    <row r="7" spans="1:9" x14ac:dyDescent="0.35">
      <c r="A7" s="16" t="s">
        <v>856</v>
      </c>
      <c r="B7" s="30"/>
      <c r="C7" s="30"/>
      <c r="D7" s="13"/>
      <c r="E7" s="14"/>
      <c r="F7" s="15"/>
      <c r="G7" s="15"/>
    </row>
    <row r="8" spans="1:9" x14ac:dyDescent="0.35">
      <c r="A8" s="12" t="s">
        <v>1528</v>
      </c>
      <c r="B8" s="30" t="s">
        <v>1529</v>
      </c>
      <c r="C8" s="30" t="s">
        <v>943</v>
      </c>
      <c r="D8" s="13">
        <v>238150</v>
      </c>
      <c r="E8" s="14">
        <v>4699.8900000000003</v>
      </c>
      <c r="F8" s="15">
        <v>3.4000000000000002E-2</v>
      </c>
      <c r="G8" s="15"/>
    </row>
    <row r="9" spans="1:9" x14ac:dyDescent="0.35">
      <c r="A9" s="12" t="s">
        <v>1425</v>
      </c>
      <c r="B9" s="30" t="s">
        <v>1426</v>
      </c>
      <c r="C9" s="30" t="s">
        <v>974</v>
      </c>
      <c r="D9" s="13">
        <v>592090</v>
      </c>
      <c r="E9" s="14">
        <v>4427.6499999999996</v>
      </c>
      <c r="F9" s="15">
        <v>3.2000000000000001E-2</v>
      </c>
      <c r="G9" s="15"/>
    </row>
    <row r="10" spans="1:9" x14ac:dyDescent="0.35">
      <c r="A10" s="12" t="s">
        <v>1559</v>
      </c>
      <c r="B10" s="30" t="s">
        <v>1560</v>
      </c>
      <c r="C10" s="30" t="s">
        <v>940</v>
      </c>
      <c r="D10" s="13">
        <v>253730</v>
      </c>
      <c r="E10" s="14">
        <v>4098.25</v>
      </c>
      <c r="F10" s="15">
        <v>2.9700000000000001E-2</v>
      </c>
      <c r="G10" s="15"/>
    </row>
    <row r="11" spans="1:9" x14ac:dyDescent="0.35">
      <c r="A11" s="12" t="s">
        <v>1561</v>
      </c>
      <c r="B11" s="30" t="s">
        <v>1562</v>
      </c>
      <c r="C11" s="30" t="s">
        <v>862</v>
      </c>
      <c r="D11" s="13">
        <v>1757648</v>
      </c>
      <c r="E11" s="14">
        <v>3269.23</v>
      </c>
      <c r="F11" s="15">
        <v>2.3699999999999999E-2</v>
      </c>
      <c r="G11" s="15"/>
    </row>
    <row r="12" spans="1:9" x14ac:dyDescent="0.35">
      <c r="A12" s="12" t="s">
        <v>1541</v>
      </c>
      <c r="B12" s="30" t="s">
        <v>1542</v>
      </c>
      <c r="C12" s="30" t="s">
        <v>1540</v>
      </c>
      <c r="D12" s="13">
        <v>169350</v>
      </c>
      <c r="E12" s="14">
        <v>3125.44</v>
      </c>
      <c r="F12" s="15">
        <v>2.2599999999999999E-2</v>
      </c>
      <c r="G12" s="15"/>
    </row>
    <row r="13" spans="1:9" x14ac:dyDescent="0.35">
      <c r="A13" s="12" t="s">
        <v>1077</v>
      </c>
      <c r="B13" s="30" t="s">
        <v>1078</v>
      </c>
      <c r="C13" s="30" t="s">
        <v>862</v>
      </c>
      <c r="D13" s="13">
        <v>2308084</v>
      </c>
      <c r="E13" s="14">
        <v>3035.13</v>
      </c>
      <c r="F13" s="15">
        <v>2.1999999999999999E-2</v>
      </c>
      <c r="G13" s="15"/>
    </row>
    <row r="14" spans="1:9" x14ac:dyDescent="0.35">
      <c r="A14" s="12" t="s">
        <v>1530</v>
      </c>
      <c r="B14" s="30" t="s">
        <v>1531</v>
      </c>
      <c r="C14" s="30" t="s">
        <v>1057</v>
      </c>
      <c r="D14" s="13">
        <v>661786</v>
      </c>
      <c r="E14" s="14">
        <v>3019.73</v>
      </c>
      <c r="F14" s="15">
        <v>2.18E-2</v>
      </c>
      <c r="G14" s="15"/>
    </row>
    <row r="15" spans="1:9" x14ac:dyDescent="0.35">
      <c r="A15" s="12" t="s">
        <v>1087</v>
      </c>
      <c r="B15" s="30" t="s">
        <v>1088</v>
      </c>
      <c r="C15" s="30" t="s">
        <v>931</v>
      </c>
      <c r="D15" s="13">
        <v>64575</v>
      </c>
      <c r="E15" s="14">
        <v>2939.29</v>
      </c>
      <c r="F15" s="15">
        <v>2.1299999999999999E-2</v>
      </c>
      <c r="G15" s="15"/>
    </row>
    <row r="16" spans="1:9" x14ac:dyDescent="0.35">
      <c r="A16" s="12" t="s">
        <v>1427</v>
      </c>
      <c r="B16" s="30" t="s">
        <v>1428</v>
      </c>
      <c r="C16" s="30" t="s">
        <v>1048</v>
      </c>
      <c r="D16" s="13">
        <v>96536</v>
      </c>
      <c r="E16" s="14">
        <v>2905.93</v>
      </c>
      <c r="F16" s="15">
        <v>2.1000000000000001E-2</v>
      </c>
      <c r="G16" s="15"/>
    </row>
    <row r="17" spans="1:7" x14ac:dyDescent="0.35">
      <c r="A17" s="12" t="s">
        <v>1051</v>
      </c>
      <c r="B17" s="30" t="s">
        <v>1052</v>
      </c>
      <c r="C17" s="30" t="s">
        <v>885</v>
      </c>
      <c r="D17" s="13">
        <v>540945</v>
      </c>
      <c r="E17" s="14">
        <v>2836.45</v>
      </c>
      <c r="F17" s="15">
        <v>2.0500000000000001E-2</v>
      </c>
      <c r="G17" s="15"/>
    </row>
    <row r="18" spans="1:7" x14ac:dyDescent="0.35">
      <c r="A18" s="12" t="s">
        <v>1421</v>
      </c>
      <c r="B18" s="30" t="s">
        <v>1422</v>
      </c>
      <c r="C18" s="30" t="s">
        <v>1015</v>
      </c>
      <c r="D18" s="13">
        <v>563208</v>
      </c>
      <c r="E18" s="14">
        <v>2813.51</v>
      </c>
      <c r="F18" s="15">
        <v>2.0400000000000001E-2</v>
      </c>
      <c r="G18" s="15"/>
    </row>
    <row r="19" spans="1:7" x14ac:dyDescent="0.35">
      <c r="A19" s="12" t="s">
        <v>1102</v>
      </c>
      <c r="B19" s="30" t="s">
        <v>1103</v>
      </c>
      <c r="C19" s="30" t="s">
        <v>911</v>
      </c>
      <c r="D19" s="13">
        <v>75232</v>
      </c>
      <c r="E19" s="14">
        <v>2778.36</v>
      </c>
      <c r="F19" s="15">
        <v>2.01E-2</v>
      </c>
      <c r="G19" s="15"/>
    </row>
    <row r="20" spans="1:7" x14ac:dyDescent="0.35">
      <c r="A20" s="12" t="s">
        <v>1563</v>
      </c>
      <c r="B20" s="30" t="s">
        <v>1564</v>
      </c>
      <c r="C20" s="30" t="s">
        <v>940</v>
      </c>
      <c r="D20" s="13">
        <v>298875</v>
      </c>
      <c r="E20" s="14">
        <v>2719.76</v>
      </c>
      <c r="F20" s="15">
        <v>1.9699999999999999E-2</v>
      </c>
      <c r="G20" s="15"/>
    </row>
    <row r="21" spans="1:7" x14ac:dyDescent="0.35">
      <c r="A21" s="12" t="s">
        <v>1436</v>
      </c>
      <c r="B21" s="30" t="s">
        <v>1437</v>
      </c>
      <c r="C21" s="30" t="s">
        <v>940</v>
      </c>
      <c r="D21" s="13">
        <v>88443</v>
      </c>
      <c r="E21" s="14">
        <v>2653.78</v>
      </c>
      <c r="F21" s="15">
        <v>1.9199999999999998E-2</v>
      </c>
      <c r="G21" s="15"/>
    </row>
    <row r="22" spans="1:7" x14ac:dyDescent="0.35">
      <c r="A22" s="12" t="s">
        <v>1565</v>
      </c>
      <c r="B22" s="30" t="s">
        <v>1566</v>
      </c>
      <c r="C22" s="30" t="s">
        <v>940</v>
      </c>
      <c r="D22" s="13">
        <v>127658</v>
      </c>
      <c r="E22" s="14">
        <v>2631.54</v>
      </c>
      <c r="F22" s="15">
        <v>1.9E-2</v>
      </c>
      <c r="G22" s="15"/>
    </row>
    <row r="23" spans="1:7" x14ac:dyDescent="0.35">
      <c r="A23" s="12" t="s">
        <v>1545</v>
      </c>
      <c r="B23" s="30" t="s">
        <v>1546</v>
      </c>
      <c r="C23" s="30" t="s">
        <v>958</v>
      </c>
      <c r="D23" s="13">
        <v>437564</v>
      </c>
      <c r="E23" s="14">
        <v>2617.0700000000002</v>
      </c>
      <c r="F23" s="15">
        <v>1.89E-2</v>
      </c>
      <c r="G23" s="15"/>
    </row>
    <row r="24" spans="1:7" x14ac:dyDescent="0.35">
      <c r="A24" s="12" t="s">
        <v>1423</v>
      </c>
      <c r="B24" s="30" t="s">
        <v>1424</v>
      </c>
      <c r="C24" s="30" t="s">
        <v>958</v>
      </c>
      <c r="D24" s="13">
        <v>237305</v>
      </c>
      <c r="E24" s="14">
        <v>2565.86</v>
      </c>
      <c r="F24" s="15">
        <v>1.8599999999999998E-2</v>
      </c>
      <c r="G24" s="15"/>
    </row>
    <row r="25" spans="1:7" x14ac:dyDescent="0.35">
      <c r="A25" s="12" t="s">
        <v>989</v>
      </c>
      <c r="B25" s="30" t="s">
        <v>990</v>
      </c>
      <c r="C25" s="30" t="s">
        <v>885</v>
      </c>
      <c r="D25" s="13">
        <v>360039</v>
      </c>
      <c r="E25" s="14">
        <v>2553.94</v>
      </c>
      <c r="F25" s="15">
        <v>1.8499999999999999E-2</v>
      </c>
      <c r="G25" s="15"/>
    </row>
    <row r="26" spans="1:7" x14ac:dyDescent="0.35">
      <c r="A26" s="12" t="s">
        <v>1538</v>
      </c>
      <c r="B26" s="30" t="s">
        <v>1539</v>
      </c>
      <c r="C26" s="30" t="s">
        <v>1540</v>
      </c>
      <c r="D26" s="13">
        <v>610104</v>
      </c>
      <c r="E26" s="14">
        <v>2520.9499999999998</v>
      </c>
      <c r="F26" s="15">
        <v>1.8200000000000001E-2</v>
      </c>
      <c r="G26" s="15"/>
    </row>
    <row r="27" spans="1:7" x14ac:dyDescent="0.35">
      <c r="A27" s="12" t="s">
        <v>938</v>
      </c>
      <c r="B27" s="30" t="s">
        <v>939</v>
      </c>
      <c r="C27" s="30" t="s">
        <v>940</v>
      </c>
      <c r="D27" s="13">
        <v>163191</v>
      </c>
      <c r="E27" s="14">
        <v>2199.65</v>
      </c>
      <c r="F27" s="15">
        <v>1.5900000000000001E-2</v>
      </c>
      <c r="G27" s="15"/>
    </row>
    <row r="28" spans="1:7" x14ac:dyDescent="0.35">
      <c r="A28" s="12" t="s">
        <v>1555</v>
      </c>
      <c r="B28" s="30" t="s">
        <v>1556</v>
      </c>
      <c r="C28" s="30" t="s">
        <v>862</v>
      </c>
      <c r="D28" s="13">
        <v>839743</v>
      </c>
      <c r="E28" s="14">
        <v>2132.11</v>
      </c>
      <c r="F28" s="15">
        <v>1.54E-2</v>
      </c>
      <c r="G28" s="15"/>
    </row>
    <row r="29" spans="1:7" x14ac:dyDescent="0.35">
      <c r="A29" s="12" t="s">
        <v>1567</v>
      </c>
      <c r="B29" s="30" t="s">
        <v>1568</v>
      </c>
      <c r="C29" s="30" t="s">
        <v>1199</v>
      </c>
      <c r="D29" s="13">
        <v>379616</v>
      </c>
      <c r="E29" s="14">
        <v>2095.1</v>
      </c>
      <c r="F29" s="15">
        <v>1.52E-2</v>
      </c>
      <c r="G29" s="15"/>
    </row>
    <row r="30" spans="1:7" x14ac:dyDescent="0.35">
      <c r="A30" s="12" t="s">
        <v>1532</v>
      </c>
      <c r="B30" s="30" t="s">
        <v>1533</v>
      </c>
      <c r="C30" s="30" t="s">
        <v>940</v>
      </c>
      <c r="D30" s="13">
        <v>192272</v>
      </c>
      <c r="E30" s="14">
        <v>2074.52</v>
      </c>
      <c r="F30" s="15">
        <v>1.4999999999999999E-2</v>
      </c>
      <c r="G30" s="15"/>
    </row>
    <row r="31" spans="1:7" x14ac:dyDescent="0.35">
      <c r="A31" s="12" t="s">
        <v>1569</v>
      </c>
      <c r="B31" s="30" t="s">
        <v>1570</v>
      </c>
      <c r="C31" s="30" t="s">
        <v>934</v>
      </c>
      <c r="D31" s="13">
        <v>133142</v>
      </c>
      <c r="E31" s="14">
        <v>2000.92</v>
      </c>
      <c r="F31" s="15">
        <v>1.4500000000000001E-2</v>
      </c>
      <c r="G31" s="15"/>
    </row>
    <row r="32" spans="1:7" x14ac:dyDescent="0.35">
      <c r="A32" s="12" t="s">
        <v>1571</v>
      </c>
      <c r="B32" s="30" t="s">
        <v>1572</v>
      </c>
      <c r="C32" s="30" t="s">
        <v>940</v>
      </c>
      <c r="D32" s="13">
        <v>307939</v>
      </c>
      <c r="E32" s="14">
        <v>1995.29</v>
      </c>
      <c r="F32" s="15">
        <v>1.44E-2</v>
      </c>
      <c r="G32" s="15"/>
    </row>
    <row r="33" spans="1:7" x14ac:dyDescent="0.35">
      <c r="A33" s="12" t="s">
        <v>1573</v>
      </c>
      <c r="B33" s="30" t="s">
        <v>1574</v>
      </c>
      <c r="C33" s="30" t="s">
        <v>908</v>
      </c>
      <c r="D33" s="13">
        <v>357810</v>
      </c>
      <c r="E33" s="14">
        <v>1978.33</v>
      </c>
      <c r="F33" s="15">
        <v>1.43E-2</v>
      </c>
      <c r="G33" s="15"/>
    </row>
    <row r="34" spans="1:7" x14ac:dyDescent="0.35">
      <c r="A34" s="12" t="s">
        <v>1536</v>
      </c>
      <c r="B34" s="30" t="s">
        <v>1537</v>
      </c>
      <c r="C34" s="30" t="s">
        <v>1015</v>
      </c>
      <c r="D34" s="13">
        <v>136872</v>
      </c>
      <c r="E34" s="14">
        <v>1954.33</v>
      </c>
      <c r="F34" s="15">
        <v>1.41E-2</v>
      </c>
      <c r="G34" s="15"/>
    </row>
    <row r="35" spans="1:7" x14ac:dyDescent="0.35">
      <c r="A35" s="12" t="s">
        <v>1575</v>
      </c>
      <c r="B35" s="30" t="s">
        <v>1576</v>
      </c>
      <c r="C35" s="30" t="s">
        <v>931</v>
      </c>
      <c r="D35" s="13">
        <v>771979</v>
      </c>
      <c r="E35" s="14">
        <v>1872.82</v>
      </c>
      <c r="F35" s="15">
        <v>1.3599999999999999E-2</v>
      </c>
      <c r="G35" s="15"/>
    </row>
    <row r="36" spans="1:7" x14ac:dyDescent="0.35">
      <c r="A36" s="12" t="s">
        <v>1577</v>
      </c>
      <c r="B36" s="30" t="s">
        <v>1578</v>
      </c>
      <c r="C36" s="30" t="s">
        <v>953</v>
      </c>
      <c r="D36" s="13">
        <v>1628041</v>
      </c>
      <c r="E36" s="14">
        <v>1833.17</v>
      </c>
      <c r="F36" s="15">
        <v>1.3299999999999999E-2</v>
      </c>
      <c r="G36" s="15"/>
    </row>
    <row r="37" spans="1:7" x14ac:dyDescent="0.35">
      <c r="A37" s="12" t="s">
        <v>1411</v>
      </c>
      <c r="B37" s="30" t="s">
        <v>1412</v>
      </c>
      <c r="C37" s="30" t="s">
        <v>953</v>
      </c>
      <c r="D37" s="13">
        <v>335770</v>
      </c>
      <c r="E37" s="14">
        <v>1802.08</v>
      </c>
      <c r="F37" s="15">
        <v>1.2999999999999999E-2</v>
      </c>
      <c r="G37" s="15"/>
    </row>
    <row r="38" spans="1:7" x14ac:dyDescent="0.35">
      <c r="A38" s="12" t="s">
        <v>1579</v>
      </c>
      <c r="B38" s="30" t="s">
        <v>1580</v>
      </c>
      <c r="C38" s="30" t="s">
        <v>922</v>
      </c>
      <c r="D38" s="13">
        <v>94803</v>
      </c>
      <c r="E38" s="14">
        <v>1794.62</v>
      </c>
      <c r="F38" s="15">
        <v>1.2999999999999999E-2</v>
      </c>
      <c r="G38" s="15"/>
    </row>
    <row r="39" spans="1:7" x14ac:dyDescent="0.35">
      <c r="A39" s="12" t="s">
        <v>1549</v>
      </c>
      <c r="B39" s="30" t="s">
        <v>1550</v>
      </c>
      <c r="C39" s="30" t="s">
        <v>1010</v>
      </c>
      <c r="D39" s="13">
        <v>367315</v>
      </c>
      <c r="E39" s="14">
        <v>1741.26</v>
      </c>
      <c r="F39" s="15">
        <v>1.26E-2</v>
      </c>
      <c r="G39" s="15"/>
    </row>
    <row r="40" spans="1:7" x14ac:dyDescent="0.35">
      <c r="A40" s="12" t="s">
        <v>1581</v>
      </c>
      <c r="B40" s="30" t="s">
        <v>1582</v>
      </c>
      <c r="C40" s="30" t="s">
        <v>1022</v>
      </c>
      <c r="D40" s="13">
        <v>659826</v>
      </c>
      <c r="E40" s="14">
        <v>1702.35</v>
      </c>
      <c r="F40" s="15">
        <v>1.23E-2</v>
      </c>
      <c r="G40" s="15"/>
    </row>
    <row r="41" spans="1:7" x14ac:dyDescent="0.35">
      <c r="A41" s="12" t="s">
        <v>1583</v>
      </c>
      <c r="B41" s="30" t="s">
        <v>1584</v>
      </c>
      <c r="C41" s="30" t="s">
        <v>922</v>
      </c>
      <c r="D41" s="13">
        <v>292438</v>
      </c>
      <c r="E41" s="14">
        <v>1629.32</v>
      </c>
      <c r="F41" s="15">
        <v>1.18E-2</v>
      </c>
      <c r="G41" s="15"/>
    </row>
    <row r="42" spans="1:7" x14ac:dyDescent="0.35">
      <c r="A42" s="12" t="s">
        <v>1585</v>
      </c>
      <c r="B42" s="30" t="s">
        <v>1586</v>
      </c>
      <c r="C42" s="30" t="s">
        <v>1587</v>
      </c>
      <c r="D42" s="13">
        <v>54985</v>
      </c>
      <c r="E42" s="14">
        <v>1600.75</v>
      </c>
      <c r="F42" s="15">
        <v>1.1599999999999999E-2</v>
      </c>
      <c r="G42" s="15"/>
    </row>
    <row r="43" spans="1:7" x14ac:dyDescent="0.35">
      <c r="A43" s="12" t="s">
        <v>1588</v>
      </c>
      <c r="B43" s="30" t="s">
        <v>1589</v>
      </c>
      <c r="C43" s="30" t="s">
        <v>934</v>
      </c>
      <c r="D43" s="13">
        <v>58516</v>
      </c>
      <c r="E43" s="14">
        <v>1594.3</v>
      </c>
      <c r="F43" s="15">
        <v>1.15E-2</v>
      </c>
      <c r="G43" s="15"/>
    </row>
    <row r="44" spans="1:7" x14ac:dyDescent="0.35">
      <c r="A44" s="12" t="s">
        <v>1590</v>
      </c>
      <c r="B44" s="30" t="s">
        <v>1591</v>
      </c>
      <c r="C44" s="30" t="s">
        <v>931</v>
      </c>
      <c r="D44" s="13">
        <v>27611</v>
      </c>
      <c r="E44" s="14">
        <v>1585.2</v>
      </c>
      <c r="F44" s="15">
        <v>1.15E-2</v>
      </c>
      <c r="G44" s="15"/>
    </row>
    <row r="45" spans="1:7" x14ac:dyDescent="0.35">
      <c r="A45" s="12" t="s">
        <v>1091</v>
      </c>
      <c r="B45" s="30" t="s">
        <v>1092</v>
      </c>
      <c r="C45" s="30" t="s">
        <v>934</v>
      </c>
      <c r="D45" s="13">
        <v>51468</v>
      </c>
      <c r="E45" s="14">
        <v>1569.65</v>
      </c>
      <c r="F45" s="15">
        <v>1.14E-2</v>
      </c>
      <c r="G45" s="15"/>
    </row>
    <row r="46" spans="1:7" x14ac:dyDescent="0.35">
      <c r="A46" s="12" t="s">
        <v>1592</v>
      </c>
      <c r="B46" s="30" t="s">
        <v>1593</v>
      </c>
      <c r="C46" s="30" t="s">
        <v>1199</v>
      </c>
      <c r="D46" s="13">
        <v>44260</v>
      </c>
      <c r="E46" s="14">
        <v>1549.48</v>
      </c>
      <c r="F46" s="15">
        <v>1.12E-2</v>
      </c>
      <c r="G46" s="15"/>
    </row>
    <row r="47" spans="1:7" x14ac:dyDescent="0.35">
      <c r="A47" s="12" t="s">
        <v>1061</v>
      </c>
      <c r="B47" s="30" t="s">
        <v>1062</v>
      </c>
      <c r="C47" s="30" t="s">
        <v>911</v>
      </c>
      <c r="D47" s="13">
        <v>556084</v>
      </c>
      <c r="E47" s="14">
        <v>1506.15</v>
      </c>
      <c r="F47" s="15">
        <v>1.09E-2</v>
      </c>
      <c r="G47" s="15"/>
    </row>
    <row r="48" spans="1:7" x14ac:dyDescent="0.35">
      <c r="A48" s="12" t="s">
        <v>1594</v>
      </c>
      <c r="B48" s="30" t="s">
        <v>1595</v>
      </c>
      <c r="C48" s="30" t="s">
        <v>940</v>
      </c>
      <c r="D48" s="13">
        <v>177993</v>
      </c>
      <c r="E48" s="14">
        <v>1505.55</v>
      </c>
      <c r="F48" s="15">
        <v>1.09E-2</v>
      </c>
      <c r="G48" s="15"/>
    </row>
    <row r="49" spans="1:7" x14ac:dyDescent="0.35">
      <c r="A49" s="12" t="s">
        <v>1596</v>
      </c>
      <c r="B49" s="30" t="s">
        <v>1597</v>
      </c>
      <c r="C49" s="30" t="s">
        <v>958</v>
      </c>
      <c r="D49" s="13">
        <v>399570</v>
      </c>
      <c r="E49" s="14">
        <v>1486.8</v>
      </c>
      <c r="F49" s="15">
        <v>1.0800000000000001E-2</v>
      </c>
      <c r="G49" s="15"/>
    </row>
    <row r="50" spans="1:7" x14ac:dyDescent="0.35">
      <c r="A50" s="12" t="s">
        <v>1448</v>
      </c>
      <c r="B50" s="30" t="s">
        <v>1449</v>
      </c>
      <c r="C50" s="30" t="s">
        <v>1022</v>
      </c>
      <c r="D50" s="13">
        <v>666254</v>
      </c>
      <c r="E50" s="14">
        <v>1483.08</v>
      </c>
      <c r="F50" s="15">
        <v>1.0699999999999999E-2</v>
      </c>
      <c r="G50" s="15"/>
    </row>
    <row r="51" spans="1:7" x14ac:dyDescent="0.35">
      <c r="A51" s="12" t="s">
        <v>1553</v>
      </c>
      <c r="B51" s="30" t="s">
        <v>1554</v>
      </c>
      <c r="C51" s="30" t="s">
        <v>922</v>
      </c>
      <c r="D51" s="13">
        <v>275314</v>
      </c>
      <c r="E51" s="14">
        <v>1482.7</v>
      </c>
      <c r="F51" s="15">
        <v>1.0699999999999999E-2</v>
      </c>
      <c r="G51" s="15"/>
    </row>
    <row r="52" spans="1:7" x14ac:dyDescent="0.35">
      <c r="A52" s="12" t="s">
        <v>1598</v>
      </c>
      <c r="B52" s="30" t="s">
        <v>1599</v>
      </c>
      <c r="C52" s="30" t="s">
        <v>953</v>
      </c>
      <c r="D52" s="13">
        <v>442035</v>
      </c>
      <c r="E52" s="14">
        <v>1457.61</v>
      </c>
      <c r="F52" s="15">
        <v>1.0500000000000001E-2</v>
      </c>
      <c r="G52" s="15"/>
    </row>
    <row r="53" spans="1:7" x14ac:dyDescent="0.35">
      <c r="A53" s="12" t="s">
        <v>1557</v>
      </c>
      <c r="B53" s="30" t="s">
        <v>1558</v>
      </c>
      <c r="C53" s="30" t="s">
        <v>922</v>
      </c>
      <c r="D53" s="13">
        <v>1996056</v>
      </c>
      <c r="E53" s="14">
        <v>1453.13</v>
      </c>
      <c r="F53" s="15">
        <v>1.0500000000000001E-2</v>
      </c>
      <c r="G53" s="15"/>
    </row>
    <row r="54" spans="1:7" x14ac:dyDescent="0.35">
      <c r="A54" s="12" t="s">
        <v>1600</v>
      </c>
      <c r="B54" s="30" t="s">
        <v>1601</v>
      </c>
      <c r="C54" s="30" t="s">
        <v>934</v>
      </c>
      <c r="D54" s="13">
        <v>326313</v>
      </c>
      <c r="E54" s="14">
        <v>1435.78</v>
      </c>
      <c r="F54" s="15">
        <v>1.04E-2</v>
      </c>
      <c r="G54" s="15"/>
    </row>
    <row r="55" spans="1:7" x14ac:dyDescent="0.35">
      <c r="A55" s="12" t="s">
        <v>1602</v>
      </c>
      <c r="B55" s="30" t="s">
        <v>1603</v>
      </c>
      <c r="C55" s="30" t="s">
        <v>1604</v>
      </c>
      <c r="D55" s="13">
        <v>208540</v>
      </c>
      <c r="E55" s="14">
        <v>1431</v>
      </c>
      <c r="F55" s="15">
        <v>1.04E-2</v>
      </c>
      <c r="G55" s="15"/>
    </row>
    <row r="56" spans="1:7" x14ac:dyDescent="0.35">
      <c r="A56" s="12" t="s">
        <v>1534</v>
      </c>
      <c r="B56" s="30" t="s">
        <v>1535</v>
      </c>
      <c r="C56" s="30" t="s">
        <v>868</v>
      </c>
      <c r="D56" s="13">
        <v>440917</v>
      </c>
      <c r="E56" s="14">
        <v>1360.45</v>
      </c>
      <c r="F56" s="15">
        <v>9.7999999999999997E-3</v>
      </c>
      <c r="G56" s="15"/>
    </row>
    <row r="57" spans="1:7" x14ac:dyDescent="0.35">
      <c r="A57" s="12" t="s">
        <v>1605</v>
      </c>
      <c r="B57" s="30" t="s">
        <v>1606</v>
      </c>
      <c r="C57" s="30" t="s">
        <v>940</v>
      </c>
      <c r="D57" s="13">
        <v>64020</v>
      </c>
      <c r="E57" s="14">
        <v>1346.34</v>
      </c>
      <c r="F57" s="15">
        <v>9.7000000000000003E-3</v>
      </c>
      <c r="G57" s="15"/>
    </row>
    <row r="58" spans="1:7" x14ac:dyDescent="0.35">
      <c r="A58" s="12" t="s">
        <v>1415</v>
      </c>
      <c r="B58" s="30" t="s">
        <v>1416</v>
      </c>
      <c r="C58" s="30" t="s">
        <v>958</v>
      </c>
      <c r="D58" s="13">
        <v>498498</v>
      </c>
      <c r="E58" s="14">
        <v>1339.96</v>
      </c>
      <c r="F58" s="15">
        <v>9.7000000000000003E-3</v>
      </c>
      <c r="G58" s="15"/>
    </row>
    <row r="59" spans="1:7" x14ac:dyDescent="0.35">
      <c r="A59" s="12" t="s">
        <v>1098</v>
      </c>
      <c r="B59" s="30" t="s">
        <v>1099</v>
      </c>
      <c r="C59" s="30" t="s">
        <v>885</v>
      </c>
      <c r="D59" s="13">
        <v>329646</v>
      </c>
      <c r="E59" s="14">
        <v>1336.06</v>
      </c>
      <c r="F59" s="15">
        <v>9.7000000000000003E-3</v>
      </c>
      <c r="G59" s="15"/>
    </row>
    <row r="60" spans="1:7" x14ac:dyDescent="0.35">
      <c r="A60" s="12" t="s">
        <v>935</v>
      </c>
      <c r="B60" s="30" t="s">
        <v>936</v>
      </c>
      <c r="C60" s="30" t="s">
        <v>937</v>
      </c>
      <c r="D60" s="13">
        <v>86415</v>
      </c>
      <c r="E60" s="14">
        <v>1327.64</v>
      </c>
      <c r="F60" s="15">
        <v>9.5999999999999992E-3</v>
      </c>
      <c r="G60" s="15"/>
    </row>
    <row r="61" spans="1:7" x14ac:dyDescent="0.35">
      <c r="A61" s="12" t="s">
        <v>1607</v>
      </c>
      <c r="B61" s="30" t="s">
        <v>1608</v>
      </c>
      <c r="C61" s="30" t="s">
        <v>862</v>
      </c>
      <c r="D61" s="13">
        <v>568314</v>
      </c>
      <c r="E61" s="14">
        <v>1291.49</v>
      </c>
      <c r="F61" s="15">
        <v>9.2999999999999992E-3</v>
      </c>
      <c r="G61" s="15"/>
    </row>
    <row r="62" spans="1:7" x14ac:dyDescent="0.35">
      <c r="A62" s="12" t="s">
        <v>1049</v>
      </c>
      <c r="B62" s="30" t="s">
        <v>1050</v>
      </c>
      <c r="C62" s="30" t="s">
        <v>908</v>
      </c>
      <c r="D62" s="13">
        <v>79851</v>
      </c>
      <c r="E62" s="14">
        <v>1278.3699999999999</v>
      </c>
      <c r="F62" s="15">
        <v>9.1999999999999998E-3</v>
      </c>
      <c r="G62" s="15"/>
    </row>
    <row r="63" spans="1:7" x14ac:dyDescent="0.35">
      <c r="A63" s="12" t="s">
        <v>1063</v>
      </c>
      <c r="B63" s="30" t="s">
        <v>1064</v>
      </c>
      <c r="C63" s="30" t="s">
        <v>943</v>
      </c>
      <c r="D63" s="13">
        <v>279555</v>
      </c>
      <c r="E63" s="14">
        <v>1270.72</v>
      </c>
      <c r="F63" s="15">
        <v>9.1999999999999998E-3</v>
      </c>
      <c r="G63" s="15"/>
    </row>
    <row r="64" spans="1:7" x14ac:dyDescent="0.35">
      <c r="A64" s="12" t="s">
        <v>1036</v>
      </c>
      <c r="B64" s="30" t="s">
        <v>1037</v>
      </c>
      <c r="C64" s="30" t="s">
        <v>888</v>
      </c>
      <c r="D64" s="13">
        <v>379883</v>
      </c>
      <c r="E64" s="14">
        <v>1239.94</v>
      </c>
      <c r="F64" s="15">
        <v>8.9999999999999993E-3</v>
      </c>
      <c r="G64" s="15"/>
    </row>
    <row r="65" spans="1:7" x14ac:dyDescent="0.35">
      <c r="A65" s="12" t="s">
        <v>929</v>
      </c>
      <c r="B65" s="30" t="s">
        <v>930</v>
      </c>
      <c r="C65" s="30" t="s">
        <v>931</v>
      </c>
      <c r="D65" s="13">
        <v>106650</v>
      </c>
      <c r="E65" s="14">
        <v>1208.1300000000001</v>
      </c>
      <c r="F65" s="15">
        <v>8.6999999999999994E-3</v>
      </c>
      <c r="G65" s="15"/>
    </row>
    <row r="66" spans="1:7" x14ac:dyDescent="0.35">
      <c r="A66" s="12" t="s">
        <v>1609</v>
      </c>
      <c r="B66" s="30" t="s">
        <v>1610</v>
      </c>
      <c r="C66" s="30" t="s">
        <v>943</v>
      </c>
      <c r="D66" s="13">
        <v>300234</v>
      </c>
      <c r="E66" s="14">
        <v>1195.98</v>
      </c>
      <c r="F66" s="15">
        <v>8.6999999999999994E-3</v>
      </c>
      <c r="G66" s="15"/>
    </row>
    <row r="67" spans="1:7" x14ac:dyDescent="0.35">
      <c r="A67" s="12" t="s">
        <v>1526</v>
      </c>
      <c r="B67" s="30" t="s">
        <v>1527</v>
      </c>
      <c r="C67" s="30" t="s">
        <v>953</v>
      </c>
      <c r="D67" s="13">
        <v>1276108</v>
      </c>
      <c r="E67" s="14">
        <v>1116.5899999999999</v>
      </c>
      <c r="F67" s="15">
        <v>8.0999999999999996E-3</v>
      </c>
      <c r="G67" s="15"/>
    </row>
    <row r="68" spans="1:7" x14ac:dyDescent="0.35">
      <c r="A68" s="12" t="s">
        <v>1611</v>
      </c>
      <c r="B68" s="30" t="s">
        <v>1612</v>
      </c>
      <c r="C68" s="30" t="s">
        <v>958</v>
      </c>
      <c r="D68" s="13">
        <v>53705</v>
      </c>
      <c r="E68" s="14">
        <v>1109.04</v>
      </c>
      <c r="F68" s="15">
        <v>8.0000000000000002E-3</v>
      </c>
      <c r="G68" s="15"/>
    </row>
    <row r="69" spans="1:7" x14ac:dyDescent="0.35">
      <c r="A69" s="12" t="s">
        <v>1613</v>
      </c>
      <c r="B69" s="30" t="s">
        <v>1614</v>
      </c>
      <c r="C69" s="30" t="s">
        <v>911</v>
      </c>
      <c r="D69" s="13">
        <v>59690</v>
      </c>
      <c r="E69" s="14">
        <v>1007.81</v>
      </c>
      <c r="F69" s="15">
        <v>7.3000000000000001E-3</v>
      </c>
      <c r="G69" s="15"/>
    </row>
    <row r="70" spans="1:7" x14ac:dyDescent="0.35">
      <c r="A70" s="12" t="s">
        <v>1615</v>
      </c>
      <c r="B70" s="30" t="s">
        <v>1616</v>
      </c>
      <c r="C70" s="30" t="s">
        <v>885</v>
      </c>
      <c r="D70" s="13">
        <v>899052</v>
      </c>
      <c r="E70" s="14">
        <v>907.14</v>
      </c>
      <c r="F70" s="15">
        <v>6.6E-3</v>
      </c>
      <c r="G70" s="15"/>
    </row>
    <row r="71" spans="1:7" x14ac:dyDescent="0.35">
      <c r="A71" s="12" t="s">
        <v>1617</v>
      </c>
      <c r="B71" s="30" t="s">
        <v>1618</v>
      </c>
      <c r="C71" s="30" t="s">
        <v>1048</v>
      </c>
      <c r="D71" s="13">
        <v>59740</v>
      </c>
      <c r="E71" s="14">
        <v>865.66</v>
      </c>
      <c r="F71" s="15">
        <v>6.3E-3</v>
      </c>
      <c r="G71" s="15"/>
    </row>
    <row r="72" spans="1:7" x14ac:dyDescent="0.35">
      <c r="A72" s="12" t="s">
        <v>1547</v>
      </c>
      <c r="B72" s="30" t="s">
        <v>1548</v>
      </c>
      <c r="C72" s="30" t="s">
        <v>958</v>
      </c>
      <c r="D72" s="13">
        <v>18126</v>
      </c>
      <c r="E72" s="14">
        <v>818.68</v>
      </c>
      <c r="F72" s="15">
        <v>5.8999999999999999E-3</v>
      </c>
      <c r="G72" s="15"/>
    </row>
    <row r="73" spans="1:7" x14ac:dyDescent="0.35">
      <c r="A73" s="12" t="s">
        <v>1619</v>
      </c>
      <c r="B73" s="30" t="s">
        <v>1620</v>
      </c>
      <c r="C73" s="30" t="s">
        <v>1097</v>
      </c>
      <c r="D73" s="13">
        <v>100536</v>
      </c>
      <c r="E73" s="14">
        <v>783.98</v>
      </c>
      <c r="F73" s="15">
        <v>5.7000000000000002E-3</v>
      </c>
      <c r="G73" s="15"/>
    </row>
    <row r="74" spans="1:7" x14ac:dyDescent="0.35">
      <c r="A74" s="12" t="s">
        <v>1621</v>
      </c>
      <c r="B74" s="30" t="s">
        <v>1622</v>
      </c>
      <c r="C74" s="30" t="s">
        <v>953</v>
      </c>
      <c r="D74" s="13">
        <v>35294</v>
      </c>
      <c r="E74" s="14">
        <v>713.34</v>
      </c>
      <c r="F74" s="15">
        <v>5.1999999999999998E-3</v>
      </c>
      <c r="G74" s="15"/>
    </row>
    <row r="75" spans="1:7" x14ac:dyDescent="0.35">
      <c r="A75" s="12" t="s">
        <v>1623</v>
      </c>
      <c r="B75" s="30" t="s">
        <v>1624</v>
      </c>
      <c r="C75" s="30" t="s">
        <v>1022</v>
      </c>
      <c r="D75" s="13">
        <v>160031</v>
      </c>
      <c r="E75" s="14">
        <v>697.34</v>
      </c>
      <c r="F75" s="15">
        <v>5.0000000000000001E-3</v>
      </c>
      <c r="G75" s="15"/>
    </row>
    <row r="76" spans="1:7" x14ac:dyDescent="0.35">
      <c r="A76" s="12" t="s">
        <v>1625</v>
      </c>
      <c r="B76" s="30" t="s">
        <v>1626</v>
      </c>
      <c r="C76" s="30" t="s">
        <v>937</v>
      </c>
      <c r="D76" s="13">
        <v>37598</v>
      </c>
      <c r="E76" s="14">
        <v>602.55999999999995</v>
      </c>
      <c r="F76" s="15">
        <v>4.4000000000000003E-3</v>
      </c>
      <c r="G76" s="15"/>
    </row>
    <row r="77" spans="1:7" x14ac:dyDescent="0.35">
      <c r="A77" s="12" t="s">
        <v>1627</v>
      </c>
      <c r="B77" s="30" t="s">
        <v>1628</v>
      </c>
      <c r="C77" s="30" t="s">
        <v>885</v>
      </c>
      <c r="D77" s="13">
        <v>93300</v>
      </c>
      <c r="E77" s="14">
        <v>586.16</v>
      </c>
      <c r="F77" s="15">
        <v>4.1999999999999997E-3</v>
      </c>
      <c r="G77" s="15"/>
    </row>
    <row r="78" spans="1:7" x14ac:dyDescent="0.35">
      <c r="A78" s="12" t="s">
        <v>1629</v>
      </c>
      <c r="B78" s="30" t="s">
        <v>1630</v>
      </c>
      <c r="C78" s="30" t="s">
        <v>931</v>
      </c>
      <c r="D78" s="13">
        <v>135642</v>
      </c>
      <c r="E78" s="14">
        <v>558.1</v>
      </c>
      <c r="F78" s="15">
        <v>4.0000000000000001E-3</v>
      </c>
      <c r="G78" s="15"/>
    </row>
    <row r="79" spans="1:7" x14ac:dyDescent="0.35">
      <c r="A79" s="12" t="s">
        <v>1446</v>
      </c>
      <c r="B79" s="30" t="s">
        <v>1447</v>
      </c>
      <c r="C79" s="30" t="s">
        <v>908</v>
      </c>
      <c r="D79" s="13">
        <v>14658</v>
      </c>
      <c r="E79" s="14">
        <v>397.62</v>
      </c>
      <c r="F79" s="15">
        <v>2.8999999999999998E-3</v>
      </c>
      <c r="G79" s="15"/>
    </row>
    <row r="80" spans="1:7" x14ac:dyDescent="0.35">
      <c r="A80" s="12" t="s">
        <v>1631</v>
      </c>
      <c r="B80" s="30" t="s">
        <v>1632</v>
      </c>
      <c r="C80" s="30" t="s">
        <v>911</v>
      </c>
      <c r="D80" s="13">
        <v>121901</v>
      </c>
      <c r="E80" s="14">
        <v>330.53</v>
      </c>
      <c r="F80" s="15">
        <v>2.3999999999999998E-3</v>
      </c>
      <c r="G80" s="15"/>
    </row>
    <row r="81" spans="1:7" x14ac:dyDescent="0.35">
      <c r="A81" s="12" t="s">
        <v>1633</v>
      </c>
      <c r="B81" s="30" t="s">
        <v>1634</v>
      </c>
      <c r="C81" s="30" t="s">
        <v>931</v>
      </c>
      <c r="D81" s="13">
        <v>14909</v>
      </c>
      <c r="E81" s="14">
        <v>284.37</v>
      </c>
      <c r="F81" s="15">
        <v>2.0999999999999999E-3</v>
      </c>
      <c r="G81" s="15"/>
    </row>
    <row r="82" spans="1:7" x14ac:dyDescent="0.35">
      <c r="A82" s="12" t="s">
        <v>1635</v>
      </c>
      <c r="B82" s="30" t="s">
        <v>1636</v>
      </c>
      <c r="C82" s="30" t="s">
        <v>1022</v>
      </c>
      <c r="D82" s="13">
        <v>258757</v>
      </c>
      <c r="E82" s="14">
        <v>191.48</v>
      </c>
      <c r="F82" s="15">
        <v>1.4E-3</v>
      </c>
      <c r="G82" s="15"/>
    </row>
    <row r="83" spans="1:7" x14ac:dyDescent="0.35">
      <c r="A83" s="16" t="s">
        <v>102</v>
      </c>
      <c r="B83" s="31"/>
      <c r="C83" s="31"/>
      <c r="D83" s="17"/>
      <c r="E83" s="37">
        <v>133324.29</v>
      </c>
      <c r="F83" s="38">
        <v>0.9647</v>
      </c>
      <c r="G83" s="20"/>
    </row>
    <row r="84" spans="1:7" x14ac:dyDescent="0.35">
      <c r="A84" s="16" t="s">
        <v>1206</v>
      </c>
      <c r="B84" s="30"/>
      <c r="C84" s="30"/>
      <c r="D84" s="13"/>
      <c r="E84" s="14"/>
      <c r="F84" s="15"/>
      <c r="G84" s="15"/>
    </row>
    <row r="85" spans="1:7" x14ac:dyDescent="0.35">
      <c r="A85" s="16" t="s">
        <v>102</v>
      </c>
      <c r="B85" s="30"/>
      <c r="C85" s="30"/>
      <c r="D85" s="13"/>
      <c r="E85" s="39" t="s">
        <v>96</v>
      </c>
      <c r="F85" s="40" t="s">
        <v>96</v>
      </c>
      <c r="G85" s="15"/>
    </row>
    <row r="86" spans="1:7" x14ac:dyDescent="0.35">
      <c r="A86" s="21" t="s">
        <v>129</v>
      </c>
      <c r="B86" s="32"/>
      <c r="C86" s="32"/>
      <c r="D86" s="22"/>
      <c r="E86" s="27">
        <v>133324.29</v>
      </c>
      <c r="F86" s="28">
        <v>0.9647</v>
      </c>
      <c r="G86" s="20"/>
    </row>
    <row r="87" spans="1:7" x14ac:dyDescent="0.35">
      <c r="A87" s="12"/>
      <c r="B87" s="30"/>
      <c r="C87" s="30"/>
      <c r="D87" s="13"/>
      <c r="E87" s="14"/>
      <c r="F87" s="15"/>
      <c r="G87" s="15"/>
    </row>
    <row r="88" spans="1:7" x14ac:dyDescent="0.35">
      <c r="A88" s="12"/>
      <c r="B88" s="30"/>
      <c r="C88" s="30"/>
      <c r="D88" s="13"/>
      <c r="E88" s="14"/>
      <c r="F88" s="15"/>
      <c r="G88" s="15"/>
    </row>
    <row r="89" spans="1:7" x14ac:dyDescent="0.35">
      <c r="A89" s="16" t="s">
        <v>130</v>
      </c>
      <c r="B89" s="30"/>
      <c r="C89" s="30"/>
      <c r="D89" s="13"/>
      <c r="E89" s="14"/>
      <c r="F89" s="15"/>
      <c r="G89" s="15"/>
    </row>
    <row r="90" spans="1:7" x14ac:dyDescent="0.35">
      <c r="A90" s="12" t="s">
        <v>131</v>
      </c>
      <c r="B90" s="30"/>
      <c r="C90" s="30"/>
      <c r="D90" s="13"/>
      <c r="E90" s="14">
        <v>5485.08</v>
      </c>
      <c r="F90" s="15">
        <v>3.9699999999999999E-2</v>
      </c>
      <c r="G90" s="101">
        <v>6.1074000000000003E-2</v>
      </c>
    </row>
    <row r="91" spans="1:7" x14ac:dyDescent="0.35">
      <c r="A91" s="16" t="s">
        <v>102</v>
      </c>
      <c r="B91" s="31"/>
      <c r="C91" s="31"/>
      <c r="D91" s="17"/>
      <c r="E91" s="37">
        <v>5485.08</v>
      </c>
      <c r="F91" s="38">
        <v>3.9699999999999999E-2</v>
      </c>
      <c r="G91" s="102"/>
    </row>
    <row r="92" spans="1:7" x14ac:dyDescent="0.35">
      <c r="A92" s="12"/>
      <c r="B92" s="30"/>
      <c r="C92" s="30"/>
      <c r="D92" s="13"/>
      <c r="E92" s="14"/>
      <c r="F92" s="15"/>
      <c r="G92" s="101"/>
    </row>
    <row r="93" spans="1:7" x14ac:dyDescent="0.35">
      <c r="A93" s="21" t="s">
        <v>129</v>
      </c>
      <c r="B93" s="32"/>
      <c r="C93" s="32"/>
      <c r="D93" s="22"/>
      <c r="E93" s="18">
        <v>5485.08</v>
      </c>
      <c r="F93" s="19">
        <v>3.9699999999999999E-2</v>
      </c>
      <c r="G93" s="102"/>
    </row>
    <row r="94" spans="1:7" x14ac:dyDescent="0.35">
      <c r="A94" s="12" t="s">
        <v>132</v>
      </c>
      <c r="B94" s="30"/>
      <c r="C94" s="30"/>
      <c r="D94" s="13"/>
      <c r="E94" s="14">
        <v>0.91779699999999997</v>
      </c>
      <c r="F94" s="15">
        <v>6.0000000000000002E-6</v>
      </c>
      <c r="G94" s="101"/>
    </row>
    <row r="95" spans="1:7" x14ac:dyDescent="0.35">
      <c r="A95" s="12" t="s">
        <v>133</v>
      </c>
      <c r="B95" s="30"/>
      <c r="C95" s="30"/>
      <c r="D95" s="13"/>
      <c r="E95" s="23">
        <v>-600.71779700000002</v>
      </c>
      <c r="F95" s="24">
        <v>-4.4060000000000002E-3</v>
      </c>
      <c r="G95" s="101">
        <v>6.1074000000000003E-2</v>
      </c>
    </row>
    <row r="96" spans="1:7" x14ac:dyDescent="0.35">
      <c r="A96" s="25" t="s">
        <v>134</v>
      </c>
      <c r="B96" s="33"/>
      <c r="C96" s="33"/>
      <c r="D96" s="26"/>
      <c r="E96" s="27">
        <v>138209.57</v>
      </c>
      <c r="F96" s="28">
        <v>1</v>
      </c>
      <c r="G96" s="28"/>
    </row>
    <row r="101" spans="1:7" x14ac:dyDescent="0.35">
      <c r="A101" s="1" t="s">
        <v>1981</v>
      </c>
    </row>
    <row r="102" spans="1:7" x14ac:dyDescent="0.35">
      <c r="A102" s="47" t="s">
        <v>1982</v>
      </c>
      <c r="B102" s="34" t="s">
        <v>96</v>
      </c>
    </row>
    <row r="103" spans="1:7" x14ac:dyDescent="0.35">
      <c r="A103" t="s">
        <v>1983</v>
      </c>
    </row>
    <row r="104" spans="1:7" x14ac:dyDescent="0.35">
      <c r="A104" t="s">
        <v>1984</v>
      </c>
      <c r="B104" t="s">
        <v>1985</v>
      </c>
      <c r="C104" t="s">
        <v>1985</v>
      </c>
    </row>
    <row r="105" spans="1:7" x14ac:dyDescent="0.35">
      <c r="B105" s="48">
        <v>44834</v>
      </c>
      <c r="C105" s="48">
        <v>44865</v>
      </c>
    </row>
    <row r="106" spans="1:7" x14ac:dyDescent="0.35">
      <c r="A106" t="s">
        <v>1989</v>
      </c>
      <c r="B106">
        <v>26.655000000000001</v>
      </c>
      <c r="C106">
        <v>27.055</v>
      </c>
      <c r="E106" s="2"/>
      <c r="G106"/>
    </row>
    <row r="107" spans="1:7" x14ac:dyDescent="0.35">
      <c r="A107" t="s">
        <v>1990</v>
      </c>
      <c r="B107">
        <v>23.318999999999999</v>
      </c>
      <c r="C107">
        <v>23.669</v>
      </c>
      <c r="E107" s="2"/>
      <c r="G107"/>
    </row>
    <row r="108" spans="1:7" x14ac:dyDescent="0.35">
      <c r="A108" t="s">
        <v>2014</v>
      </c>
      <c r="B108">
        <v>25.146999999999998</v>
      </c>
      <c r="C108">
        <v>25.489000000000001</v>
      </c>
      <c r="E108" s="2"/>
      <c r="G108"/>
    </row>
    <row r="109" spans="1:7" x14ac:dyDescent="0.35">
      <c r="A109" t="s">
        <v>2015</v>
      </c>
      <c r="B109">
        <v>21.852</v>
      </c>
      <c r="C109">
        <v>22.149000000000001</v>
      </c>
      <c r="E109" s="2"/>
      <c r="G109"/>
    </row>
    <row r="110" spans="1:7" x14ac:dyDescent="0.35">
      <c r="E110" s="2"/>
      <c r="G110"/>
    </row>
    <row r="111" spans="1:7" x14ac:dyDescent="0.35">
      <c r="A111" t="s">
        <v>2000</v>
      </c>
      <c r="B111" s="34" t="s">
        <v>96</v>
      </c>
    </row>
    <row r="112" spans="1:7" x14ac:dyDescent="0.35">
      <c r="A112" t="s">
        <v>2001</v>
      </c>
      <c r="B112" s="34" t="s">
        <v>96</v>
      </c>
    </row>
    <row r="113" spans="1:4" ht="29" x14ac:dyDescent="0.35">
      <c r="A113" s="47" t="s">
        <v>2002</v>
      </c>
      <c r="B113" s="34" t="s">
        <v>96</v>
      </c>
    </row>
    <row r="114" spans="1:4" ht="29" x14ac:dyDescent="0.35">
      <c r="A114" s="47" t="s">
        <v>2003</v>
      </c>
      <c r="B114" s="34" t="s">
        <v>96</v>
      </c>
    </row>
    <row r="115" spans="1:4" x14ac:dyDescent="0.35">
      <c r="A115" t="s">
        <v>2033</v>
      </c>
      <c r="B115" s="49">
        <v>0.159554</v>
      </c>
    </row>
    <row r="116" spans="1:4" ht="43.5" x14ac:dyDescent="0.35">
      <c r="A116" s="47" t="s">
        <v>2005</v>
      </c>
      <c r="B116" s="34" t="s">
        <v>96</v>
      </c>
    </row>
    <row r="117" spans="1:4" ht="29" x14ac:dyDescent="0.35">
      <c r="A117" s="47" t="s">
        <v>2006</v>
      </c>
      <c r="B117" s="34" t="s">
        <v>96</v>
      </c>
    </row>
    <row r="118" spans="1:4" ht="29" x14ac:dyDescent="0.35">
      <c r="A118" s="47" t="s">
        <v>2009</v>
      </c>
      <c r="B118" s="34" t="s">
        <v>96</v>
      </c>
    </row>
    <row r="119" spans="1:4" ht="29" x14ac:dyDescent="0.35">
      <c r="A119" s="47" t="s">
        <v>2135</v>
      </c>
      <c r="B119" s="34" t="s">
        <v>96</v>
      </c>
    </row>
    <row r="120" spans="1:4" ht="29" x14ac:dyDescent="0.35">
      <c r="A120" s="47" t="s">
        <v>2136</v>
      </c>
      <c r="B120" s="34" t="s">
        <v>96</v>
      </c>
    </row>
    <row r="123" spans="1:4" ht="29" x14ac:dyDescent="0.35">
      <c r="A123" s="297" t="s">
        <v>2154</v>
      </c>
      <c r="B123" s="298" t="s">
        <v>2155</v>
      </c>
      <c r="C123" s="298" t="s">
        <v>2156</v>
      </c>
      <c r="D123" s="301" t="s">
        <v>2157</v>
      </c>
    </row>
    <row r="124" spans="1:4" ht="71.5" customHeight="1" x14ac:dyDescent="0.35">
      <c r="A124" s="300" t="s">
        <v>2199</v>
      </c>
      <c r="B124" s="299"/>
      <c r="C124" s="299" t="s">
        <v>2200</v>
      </c>
      <c r="D124" s="29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BD40E-0FCF-437D-9CA8-4076231A8698}">
  <dimension ref="A1:H207"/>
  <sheetViews>
    <sheetView showGridLines="0" workbookViewId="0">
      <pane ySplit="4" topLeftCell="A206" activePane="bottomLeft" state="frozen"/>
      <selection activeCell="A2" sqref="A2:XFD2"/>
      <selection pane="bottomLeft" activeCell="D207" sqref="D207"/>
    </sheetView>
  </sheetViews>
  <sheetFormatPr defaultRowHeight="14.5" x14ac:dyDescent="0.35"/>
  <cols>
    <col min="1" max="1" width="50.453125" customWidth="1"/>
    <col min="2" max="2" width="25.7265625" customWidth="1"/>
    <col min="3" max="3" width="26.6328125" customWidth="1"/>
    <col min="4" max="4" width="22"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59</v>
      </c>
      <c r="B1" s="151"/>
      <c r="C1" s="151"/>
      <c r="D1" s="151"/>
      <c r="E1" s="151"/>
      <c r="F1" s="151"/>
      <c r="G1" s="151"/>
      <c r="H1" s="50" t="str">
        <f>HYPERLINK("[EDEL_Portfolio Monthly Notes 31-Oct-2022.xlsx]Index!A1","Index")</f>
        <v>Index</v>
      </c>
    </row>
    <row r="2" spans="1:8" ht="31" customHeight="1" x14ac:dyDescent="0.35">
      <c r="A2" s="151" t="s">
        <v>60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863</v>
      </c>
      <c r="B8" s="30" t="s">
        <v>864</v>
      </c>
      <c r="C8" s="30" t="s">
        <v>865</v>
      </c>
      <c r="D8" s="13">
        <v>83654</v>
      </c>
      <c r="E8" s="14">
        <v>2132.84</v>
      </c>
      <c r="F8" s="15">
        <v>7.6899999999999996E-2</v>
      </c>
      <c r="G8" s="15"/>
    </row>
    <row r="9" spans="1:8" x14ac:dyDescent="0.35">
      <c r="A9" s="12" t="s">
        <v>906</v>
      </c>
      <c r="B9" s="30" t="s">
        <v>907</v>
      </c>
      <c r="C9" s="30" t="s">
        <v>908</v>
      </c>
      <c r="D9" s="13">
        <v>307800</v>
      </c>
      <c r="E9" s="14">
        <v>1640.42</v>
      </c>
      <c r="F9" s="15">
        <v>5.91E-2</v>
      </c>
      <c r="G9" s="15"/>
    </row>
    <row r="10" spans="1:8" x14ac:dyDescent="0.35">
      <c r="A10" s="12" t="s">
        <v>857</v>
      </c>
      <c r="B10" s="30" t="s">
        <v>858</v>
      </c>
      <c r="C10" s="30" t="s">
        <v>859</v>
      </c>
      <c r="D10" s="13">
        <v>170000</v>
      </c>
      <c r="E10" s="14">
        <v>1400.04</v>
      </c>
      <c r="F10" s="15">
        <v>5.0500000000000003E-2</v>
      </c>
      <c r="G10" s="15"/>
    </row>
    <row r="11" spans="1:8" x14ac:dyDescent="0.35">
      <c r="A11" s="12" t="s">
        <v>889</v>
      </c>
      <c r="B11" s="30" t="s">
        <v>890</v>
      </c>
      <c r="C11" s="30" t="s">
        <v>862</v>
      </c>
      <c r="D11" s="13">
        <v>124333</v>
      </c>
      <c r="E11" s="14">
        <v>1129.81</v>
      </c>
      <c r="F11" s="15">
        <v>4.07E-2</v>
      </c>
      <c r="G11" s="15"/>
    </row>
    <row r="12" spans="1:8" x14ac:dyDescent="0.35">
      <c r="A12" s="12" t="s">
        <v>948</v>
      </c>
      <c r="B12" s="30" t="s">
        <v>949</v>
      </c>
      <c r="C12" s="30" t="s">
        <v>950</v>
      </c>
      <c r="D12" s="13">
        <v>250870</v>
      </c>
      <c r="E12" s="14">
        <v>874.78</v>
      </c>
      <c r="F12" s="15">
        <v>3.15E-2</v>
      </c>
      <c r="G12" s="15"/>
    </row>
    <row r="13" spans="1:8" x14ac:dyDescent="0.35">
      <c r="A13" s="12" t="s">
        <v>916</v>
      </c>
      <c r="B13" s="30" t="s">
        <v>917</v>
      </c>
      <c r="C13" s="30" t="s">
        <v>862</v>
      </c>
      <c r="D13" s="13">
        <v>75383</v>
      </c>
      <c r="E13" s="14">
        <v>682.97</v>
      </c>
      <c r="F13" s="15">
        <v>2.46E-2</v>
      </c>
      <c r="G13" s="15"/>
    </row>
    <row r="14" spans="1:8" x14ac:dyDescent="0.35">
      <c r="A14" s="12" t="s">
        <v>961</v>
      </c>
      <c r="B14" s="30" t="s">
        <v>962</v>
      </c>
      <c r="C14" s="30" t="s">
        <v>862</v>
      </c>
      <c r="D14" s="13">
        <v>112430</v>
      </c>
      <c r="E14" s="14">
        <v>645.12</v>
      </c>
      <c r="F14" s="15">
        <v>2.3300000000000001E-2</v>
      </c>
      <c r="G14" s="15"/>
    </row>
    <row r="15" spans="1:8" x14ac:dyDescent="0.35">
      <c r="A15" s="12" t="s">
        <v>894</v>
      </c>
      <c r="B15" s="30" t="s">
        <v>895</v>
      </c>
      <c r="C15" s="30" t="s">
        <v>862</v>
      </c>
      <c r="D15" s="13">
        <v>42000</v>
      </c>
      <c r="E15" s="14">
        <v>628.61</v>
      </c>
      <c r="F15" s="15">
        <v>2.2700000000000001E-2</v>
      </c>
      <c r="G15" s="15"/>
    </row>
    <row r="16" spans="1:8" x14ac:dyDescent="0.35">
      <c r="A16" s="12" t="s">
        <v>1020</v>
      </c>
      <c r="B16" s="30" t="s">
        <v>1021</v>
      </c>
      <c r="C16" s="30" t="s">
        <v>1022</v>
      </c>
      <c r="D16" s="13">
        <v>28948</v>
      </c>
      <c r="E16" s="14">
        <v>585.65</v>
      </c>
      <c r="F16" s="15">
        <v>2.1100000000000001E-2</v>
      </c>
      <c r="G16" s="15"/>
    </row>
    <row r="17" spans="1:7" x14ac:dyDescent="0.35">
      <c r="A17" s="12" t="s">
        <v>975</v>
      </c>
      <c r="B17" s="30" t="s">
        <v>976</v>
      </c>
      <c r="C17" s="30" t="s">
        <v>911</v>
      </c>
      <c r="D17" s="13">
        <v>34922</v>
      </c>
      <c r="E17" s="14">
        <v>536.98</v>
      </c>
      <c r="F17" s="15">
        <v>1.9400000000000001E-2</v>
      </c>
      <c r="G17" s="15"/>
    </row>
    <row r="18" spans="1:7" x14ac:dyDescent="0.35">
      <c r="A18" s="12" t="s">
        <v>869</v>
      </c>
      <c r="B18" s="30" t="s">
        <v>870</v>
      </c>
      <c r="C18" s="30" t="s">
        <v>871</v>
      </c>
      <c r="D18" s="13">
        <v>15500</v>
      </c>
      <c r="E18" s="14">
        <v>518.85</v>
      </c>
      <c r="F18" s="15">
        <v>1.8700000000000001E-2</v>
      </c>
      <c r="G18" s="15"/>
    </row>
    <row r="19" spans="1:7" x14ac:dyDescent="0.35">
      <c r="A19" s="12" t="s">
        <v>896</v>
      </c>
      <c r="B19" s="30" t="s">
        <v>897</v>
      </c>
      <c r="C19" s="30" t="s">
        <v>898</v>
      </c>
      <c r="D19" s="13">
        <v>4700</v>
      </c>
      <c r="E19" s="14">
        <v>447.8</v>
      </c>
      <c r="F19" s="15">
        <v>1.61E-2</v>
      </c>
      <c r="G19" s="15"/>
    </row>
    <row r="20" spans="1:7" x14ac:dyDescent="0.35">
      <c r="A20" s="12" t="s">
        <v>972</v>
      </c>
      <c r="B20" s="30" t="s">
        <v>973</v>
      </c>
      <c r="C20" s="30" t="s">
        <v>974</v>
      </c>
      <c r="D20" s="13">
        <v>170200</v>
      </c>
      <c r="E20" s="14">
        <v>379.8</v>
      </c>
      <c r="F20" s="15">
        <v>1.37E-2</v>
      </c>
      <c r="G20" s="15"/>
    </row>
    <row r="21" spans="1:7" x14ac:dyDescent="0.35">
      <c r="A21" s="12" t="s">
        <v>1143</v>
      </c>
      <c r="B21" s="30" t="s">
        <v>1144</v>
      </c>
      <c r="C21" s="30" t="s">
        <v>950</v>
      </c>
      <c r="D21" s="13">
        <v>11652</v>
      </c>
      <c r="E21" s="14">
        <v>297.20999999999998</v>
      </c>
      <c r="F21" s="15">
        <v>1.0699999999999999E-2</v>
      </c>
      <c r="G21" s="15"/>
    </row>
    <row r="22" spans="1:7" x14ac:dyDescent="0.35">
      <c r="A22" s="12" t="s">
        <v>959</v>
      </c>
      <c r="B22" s="30" t="s">
        <v>960</v>
      </c>
      <c r="C22" s="30" t="s">
        <v>885</v>
      </c>
      <c r="D22" s="13">
        <v>3827</v>
      </c>
      <c r="E22" s="14">
        <v>273.39999999999998</v>
      </c>
      <c r="F22" s="15">
        <v>9.9000000000000008E-3</v>
      </c>
      <c r="G22" s="15"/>
    </row>
    <row r="23" spans="1:7" x14ac:dyDescent="0.35">
      <c r="A23" s="12" t="s">
        <v>1124</v>
      </c>
      <c r="B23" s="30" t="s">
        <v>1125</v>
      </c>
      <c r="C23" s="30" t="s">
        <v>898</v>
      </c>
      <c r="D23" s="13">
        <v>17000</v>
      </c>
      <c r="E23" s="14">
        <v>229.26</v>
      </c>
      <c r="F23" s="15">
        <v>8.3000000000000001E-3</v>
      </c>
      <c r="G23" s="15"/>
    </row>
    <row r="24" spans="1:7" x14ac:dyDescent="0.35">
      <c r="A24" s="12" t="s">
        <v>1114</v>
      </c>
      <c r="B24" s="30" t="s">
        <v>1115</v>
      </c>
      <c r="C24" s="30" t="s">
        <v>943</v>
      </c>
      <c r="D24" s="13">
        <v>5000</v>
      </c>
      <c r="E24" s="14">
        <v>221.69</v>
      </c>
      <c r="F24" s="15">
        <v>8.0000000000000002E-3</v>
      </c>
      <c r="G24" s="15"/>
    </row>
    <row r="25" spans="1:7" x14ac:dyDescent="0.35">
      <c r="A25" s="12" t="s">
        <v>944</v>
      </c>
      <c r="B25" s="30" t="s">
        <v>945</v>
      </c>
      <c r="C25" s="30" t="s">
        <v>882</v>
      </c>
      <c r="D25" s="13">
        <v>42000</v>
      </c>
      <c r="E25" s="14">
        <v>219.6</v>
      </c>
      <c r="F25" s="15">
        <v>7.9000000000000008E-3</v>
      </c>
      <c r="G25" s="15"/>
    </row>
    <row r="26" spans="1:7" x14ac:dyDescent="0.35">
      <c r="A26" s="12" t="s">
        <v>880</v>
      </c>
      <c r="B26" s="30" t="s">
        <v>881</v>
      </c>
      <c r="C26" s="30" t="s">
        <v>882</v>
      </c>
      <c r="D26" s="13">
        <v>75365</v>
      </c>
      <c r="E26" s="14">
        <v>197.8</v>
      </c>
      <c r="F26" s="15">
        <v>7.1000000000000004E-3</v>
      </c>
      <c r="G26" s="15"/>
    </row>
    <row r="27" spans="1:7" x14ac:dyDescent="0.35">
      <c r="A27" s="12" t="s">
        <v>977</v>
      </c>
      <c r="B27" s="30" t="s">
        <v>978</v>
      </c>
      <c r="C27" s="30" t="s">
        <v>874</v>
      </c>
      <c r="D27" s="13">
        <v>272000</v>
      </c>
      <c r="E27" s="14">
        <v>190.94</v>
      </c>
      <c r="F27" s="15">
        <v>6.8999999999999999E-3</v>
      </c>
      <c r="G27" s="15"/>
    </row>
    <row r="28" spans="1:7" x14ac:dyDescent="0.35">
      <c r="A28" s="12" t="s">
        <v>1197</v>
      </c>
      <c r="B28" s="30" t="s">
        <v>1198</v>
      </c>
      <c r="C28" s="30" t="s">
        <v>1199</v>
      </c>
      <c r="D28" s="13">
        <v>380</v>
      </c>
      <c r="E28" s="14">
        <v>189.12</v>
      </c>
      <c r="F28" s="15">
        <v>6.7999999999999996E-3</v>
      </c>
      <c r="G28" s="15"/>
    </row>
    <row r="29" spans="1:7" x14ac:dyDescent="0.35">
      <c r="A29" s="12" t="s">
        <v>1169</v>
      </c>
      <c r="B29" s="30" t="s">
        <v>1170</v>
      </c>
      <c r="C29" s="30" t="s">
        <v>901</v>
      </c>
      <c r="D29" s="13">
        <v>105000</v>
      </c>
      <c r="E29" s="14">
        <v>181.76</v>
      </c>
      <c r="F29" s="15">
        <v>6.6E-3</v>
      </c>
      <c r="G29" s="15"/>
    </row>
    <row r="30" spans="1:7" x14ac:dyDescent="0.35">
      <c r="A30" s="12" t="s">
        <v>1440</v>
      </c>
      <c r="B30" s="30" t="s">
        <v>1456</v>
      </c>
      <c r="C30" s="30" t="s">
        <v>988</v>
      </c>
      <c r="D30" s="13">
        <v>21717</v>
      </c>
      <c r="E30" s="14">
        <v>180.69</v>
      </c>
      <c r="F30" s="15">
        <v>6.4999999999999997E-3</v>
      </c>
      <c r="G30" s="15"/>
    </row>
    <row r="31" spans="1:7" x14ac:dyDescent="0.35">
      <c r="A31" s="12" t="s">
        <v>909</v>
      </c>
      <c r="B31" s="30" t="s">
        <v>910</v>
      </c>
      <c r="C31" s="30" t="s">
        <v>911</v>
      </c>
      <c r="D31" s="13">
        <v>16800</v>
      </c>
      <c r="E31" s="14">
        <v>174.91</v>
      </c>
      <c r="F31" s="15">
        <v>6.3E-3</v>
      </c>
      <c r="G31" s="15"/>
    </row>
    <row r="32" spans="1:7" x14ac:dyDescent="0.35">
      <c r="A32" s="12" t="s">
        <v>918</v>
      </c>
      <c r="B32" s="30" t="s">
        <v>919</v>
      </c>
      <c r="C32" s="30" t="s">
        <v>911</v>
      </c>
      <c r="D32" s="13">
        <v>5434</v>
      </c>
      <c r="E32" s="14">
        <v>173.52</v>
      </c>
      <c r="F32" s="15">
        <v>6.3E-3</v>
      </c>
      <c r="G32" s="15"/>
    </row>
    <row r="33" spans="1:7" x14ac:dyDescent="0.35">
      <c r="A33" s="12" t="s">
        <v>875</v>
      </c>
      <c r="B33" s="30" t="s">
        <v>876</v>
      </c>
      <c r="C33" s="30" t="s">
        <v>877</v>
      </c>
      <c r="D33" s="13">
        <v>6000</v>
      </c>
      <c r="E33" s="14">
        <v>151.80000000000001</v>
      </c>
      <c r="F33" s="15">
        <v>5.4999999999999997E-3</v>
      </c>
      <c r="G33" s="15"/>
    </row>
    <row r="34" spans="1:7" x14ac:dyDescent="0.35">
      <c r="A34" s="12" t="s">
        <v>886</v>
      </c>
      <c r="B34" s="30" t="s">
        <v>887</v>
      </c>
      <c r="C34" s="30" t="s">
        <v>888</v>
      </c>
      <c r="D34" s="13">
        <v>20747</v>
      </c>
      <c r="E34" s="14">
        <v>151.49</v>
      </c>
      <c r="F34" s="15">
        <v>5.4999999999999997E-3</v>
      </c>
      <c r="G34" s="15"/>
    </row>
    <row r="35" spans="1:7" x14ac:dyDescent="0.35">
      <c r="A35" s="12" t="s">
        <v>1401</v>
      </c>
      <c r="B35" s="30" t="s">
        <v>1402</v>
      </c>
      <c r="C35" s="30" t="s">
        <v>885</v>
      </c>
      <c r="D35" s="13">
        <v>8571</v>
      </c>
      <c r="E35" s="14">
        <v>144.63999999999999</v>
      </c>
      <c r="F35" s="15">
        <v>5.1999999999999998E-3</v>
      </c>
      <c r="G35" s="15"/>
    </row>
    <row r="36" spans="1:7" x14ac:dyDescent="0.35">
      <c r="A36" s="12" t="s">
        <v>923</v>
      </c>
      <c r="B36" s="30" t="s">
        <v>924</v>
      </c>
      <c r="C36" s="30" t="s">
        <v>877</v>
      </c>
      <c r="D36" s="13">
        <v>132433</v>
      </c>
      <c r="E36" s="14">
        <v>141.5</v>
      </c>
      <c r="F36" s="15">
        <v>5.1000000000000004E-3</v>
      </c>
      <c r="G36" s="15"/>
    </row>
    <row r="37" spans="1:7" x14ac:dyDescent="0.35">
      <c r="A37" s="12" t="s">
        <v>1042</v>
      </c>
      <c r="B37" s="30" t="s">
        <v>1043</v>
      </c>
      <c r="C37" s="30" t="s">
        <v>943</v>
      </c>
      <c r="D37" s="13">
        <v>13851</v>
      </c>
      <c r="E37" s="14">
        <v>140.85</v>
      </c>
      <c r="F37" s="15">
        <v>5.1000000000000004E-3</v>
      </c>
      <c r="G37" s="15"/>
    </row>
    <row r="38" spans="1:7" x14ac:dyDescent="0.35">
      <c r="A38" s="12" t="s">
        <v>1102</v>
      </c>
      <c r="B38" s="30" t="s">
        <v>1103</v>
      </c>
      <c r="C38" s="30" t="s">
        <v>911</v>
      </c>
      <c r="D38" s="13">
        <v>3750</v>
      </c>
      <c r="E38" s="14">
        <v>138.49</v>
      </c>
      <c r="F38" s="15">
        <v>5.0000000000000001E-3</v>
      </c>
      <c r="G38" s="15"/>
    </row>
    <row r="39" spans="1:7" x14ac:dyDescent="0.35">
      <c r="A39" s="12" t="s">
        <v>902</v>
      </c>
      <c r="B39" s="30" t="s">
        <v>903</v>
      </c>
      <c r="C39" s="30" t="s">
        <v>862</v>
      </c>
      <c r="D39" s="13">
        <v>91000</v>
      </c>
      <c r="E39" s="14">
        <v>134.41</v>
      </c>
      <c r="F39" s="15">
        <v>4.7999999999999996E-3</v>
      </c>
      <c r="G39" s="15"/>
    </row>
    <row r="40" spans="1:7" x14ac:dyDescent="0.35">
      <c r="A40" s="12" t="s">
        <v>1403</v>
      </c>
      <c r="B40" s="30" t="s">
        <v>1404</v>
      </c>
      <c r="C40" s="30" t="s">
        <v>995</v>
      </c>
      <c r="D40" s="13">
        <v>140000</v>
      </c>
      <c r="E40" s="14">
        <v>127.82</v>
      </c>
      <c r="F40" s="15">
        <v>4.5999999999999999E-3</v>
      </c>
      <c r="G40" s="15"/>
    </row>
    <row r="41" spans="1:7" x14ac:dyDescent="0.35">
      <c r="A41" s="12" t="s">
        <v>1438</v>
      </c>
      <c r="B41" s="30" t="s">
        <v>1439</v>
      </c>
      <c r="C41" s="30" t="s">
        <v>1015</v>
      </c>
      <c r="D41" s="13">
        <v>37400</v>
      </c>
      <c r="E41" s="14">
        <v>118.27</v>
      </c>
      <c r="F41" s="15">
        <v>4.3E-3</v>
      </c>
      <c r="G41" s="15"/>
    </row>
    <row r="42" spans="1:7" x14ac:dyDescent="0.35">
      <c r="A42" s="12" t="s">
        <v>872</v>
      </c>
      <c r="B42" s="30" t="s">
        <v>873</v>
      </c>
      <c r="C42" s="30" t="s">
        <v>874</v>
      </c>
      <c r="D42" s="13">
        <v>28450</v>
      </c>
      <c r="E42" s="14">
        <v>115.41</v>
      </c>
      <c r="F42" s="15">
        <v>4.1999999999999997E-3</v>
      </c>
      <c r="G42" s="15"/>
    </row>
    <row r="43" spans="1:7" x14ac:dyDescent="0.35">
      <c r="A43" s="12" t="s">
        <v>1065</v>
      </c>
      <c r="B43" s="30" t="s">
        <v>1066</v>
      </c>
      <c r="C43" s="30" t="s">
        <v>983</v>
      </c>
      <c r="D43" s="13">
        <v>22500</v>
      </c>
      <c r="E43" s="14">
        <v>114.2</v>
      </c>
      <c r="F43" s="15">
        <v>4.1000000000000003E-3</v>
      </c>
      <c r="G43" s="15"/>
    </row>
    <row r="44" spans="1:7" x14ac:dyDescent="0.35">
      <c r="A44" s="12" t="s">
        <v>1040</v>
      </c>
      <c r="B44" s="30" t="s">
        <v>1041</v>
      </c>
      <c r="C44" s="30" t="s">
        <v>908</v>
      </c>
      <c r="D44" s="13">
        <v>1700</v>
      </c>
      <c r="E44" s="14">
        <v>114.15</v>
      </c>
      <c r="F44" s="15">
        <v>4.1000000000000003E-3</v>
      </c>
      <c r="G44" s="15"/>
    </row>
    <row r="45" spans="1:7" x14ac:dyDescent="0.35">
      <c r="A45" s="12" t="s">
        <v>1110</v>
      </c>
      <c r="B45" s="30" t="s">
        <v>1111</v>
      </c>
      <c r="C45" s="30" t="s">
        <v>898</v>
      </c>
      <c r="D45" s="13">
        <v>9868</v>
      </c>
      <c r="E45" s="14">
        <v>113.09</v>
      </c>
      <c r="F45" s="15">
        <v>4.1000000000000003E-3</v>
      </c>
      <c r="G45" s="15"/>
    </row>
    <row r="46" spans="1:7" x14ac:dyDescent="0.35">
      <c r="A46" s="12" t="s">
        <v>914</v>
      </c>
      <c r="B46" s="30" t="s">
        <v>915</v>
      </c>
      <c r="C46" s="30" t="s">
        <v>862</v>
      </c>
      <c r="D46" s="13">
        <v>9319</v>
      </c>
      <c r="E46" s="14">
        <v>106.48</v>
      </c>
      <c r="F46" s="15">
        <v>3.8E-3</v>
      </c>
      <c r="G46" s="15"/>
    </row>
    <row r="47" spans="1:7" x14ac:dyDescent="0.35">
      <c r="A47" s="12" t="s">
        <v>1126</v>
      </c>
      <c r="B47" s="30" t="s">
        <v>1127</v>
      </c>
      <c r="C47" s="30" t="s">
        <v>1128</v>
      </c>
      <c r="D47" s="13">
        <v>43102</v>
      </c>
      <c r="E47" s="14">
        <v>106.01</v>
      </c>
      <c r="F47" s="15">
        <v>3.8E-3</v>
      </c>
      <c r="G47" s="15"/>
    </row>
    <row r="48" spans="1:7" x14ac:dyDescent="0.35">
      <c r="A48" s="12" t="s">
        <v>1509</v>
      </c>
      <c r="B48" s="30" t="s">
        <v>1510</v>
      </c>
      <c r="C48" s="30" t="s">
        <v>931</v>
      </c>
      <c r="D48" s="13">
        <v>2500</v>
      </c>
      <c r="E48" s="14">
        <v>97.55</v>
      </c>
      <c r="F48" s="15">
        <v>3.5000000000000001E-3</v>
      </c>
      <c r="G48" s="15"/>
    </row>
    <row r="49" spans="1:7" x14ac:dyDescent="0.35">
      <c r="A49" s="12" t="s">
        <v>891</v>
      </c>
      <c r="B49" s="30" t="s">
        <v>892</v>
      </c>
      <c r="C49" s="30" t="s">
        <v>893</v>
      </c>
      <c r="D49" s="13">
        <v>10163</v>
      </c>
      <c r="E49" s="14">
        <v>91.1</v>
      </c>
      <c r="F49" s="15">
        <v>3.3E-3</v>
      </c>
      <c r="G49" s="15"/>
    </row>
    <row r="50" spans="1:7" x14ac:dyDescent="0.35">
      <c r="A50" s="12" t="s">
        <v>912</v>
      </c>
      <c r="B50" s="30" t="s">
        <v>913</v>
      </c>
      <c r="C50" s="30" t="s">
        <v>911</v>
      </c>
      <c r="D50" s="13">
        <v>2665</v>
      </c>
      <c r="E50" s="14">
        <v>90.71</v>
      </c>
      <c r="F50" s="15">
        <v>3.3E-3</v>
      </c>
      <c r="G50" s="15"/>
    </row>
    <row r="51" spans="1:7" x14ac:dyDescent="0.35">
      <c r="A51" s="12" t="s">
        <v>1436</v>
      </c>
      <c r="B51" s="30" t="s">
        <v>1437</v>
      </c>
      <c r="C51" s="30" t="s">
        <v>940</v>
      </c>
      <c r="D51" s="13">
        <v>3000</v>
      </c>
      <c r="E51" s="14">
        <v>90.02</v>
      </c>
      <c r="F51" s="15">
        <v>3.2000000000000002E-3</v>
      </c>
      <c r="G51" s="15"/>
    </row>
    <row r="52" spans="1:7" x14ac:dyDescent="0.35">
      <c r="A52" s="12" t="s">
        <v>1129</v>
      </c>
      <c r="B52" s="30" t="s">
        <v>1130</v>
      </c>
      <c r="C52" s="30" t="s">
        <v>995</v>
      </c>
      <c r="D52" s="13">
        <v>42149</v>
      </c>
      <c r="E52" s="14">
        <v>86.64</v>
      </c>
      <c r="F52" s="15">
        <v>3.0999999999999999E-3</v>
      </c>
      <c r="G52" s="15"/>
    </row>
    <row r="53" spans="1:7" x14ac:dyDescent="0.35">
      <c r="A53" s="12" t="s">
        <v>1444</v>
      </c>
      <c r="B53" s="30" t="s">
        <v>1445</v>
      </c>
      <c r="C53" s="30" t="s">
        <v>874</v>
      </c>
      <c r="D53" s="13">
        <v>30016</v>
      </c>
      <c r="E53" s="14">
        <v>85.16</v>
      </c>
      <c r="F53" s="15">
        <v>3.0999999999999999E-3</v>
      </c>
      <c r="G53" s="15"/>
    </row>
    <row r="54" spans="1:7" x14ac:dyDescent="0.35">
      <c r="A54" s="12" t="s">
        <v>1011</v>
      </c>
      <c r="B54" s="30" t="s">
        <v>1012</v>
      </c>
      <c r="C54" s="30" t="s">
        <v>888</v>
      </c>
      <c r="D54" s="13">
        <v>8777</v>
      </c>
      <c r="E54" s="14">
        <v>84.47</v>
      </c>
      <c r="F54" s="15">
        <v>3.0000000000000001E-3</v>
      </c>
      <c r="G54" s="15"/>
    </row>
    <row r="55" spans="1:7" x14ac:dyDescent="0.35">
      <c r="A55" s="12" t="s">
        <v>965</v>
      </c>
      <c r="B55" s="30" t="s">
        <v>966</v>
      </c>
      <c r="C55" s="30" t="s">
        <v>901</v>
      </c>
      <c r="D55" s="13">
        <v>16599</v>
      </c>
      <c r="E55" s="14">
        <v>83.72</v>
      </c>
      <c r="F55" s="15">
        <v>3.0000000000000001E-3</v>
      </c>
      <c r="G55" s="15"/>
    </row>
    <row r="56" spans="1:7" x14ac:dyDescent="0.35">
      <c r="A56" s="12" t="s">
        <v>1159</v>
      </c>
      <c r="B56" s="30" t="s">
        <v>1160</v>
      </c>
      <c r="C56" s="30" t="s">
        <v>931</v>
      </c>
      <c r="D56" s="13">
        <v>3177</v>
      </c>
      <c r="E56" s="14">
        <v>82.11</v>
      </c>
      <c r="F56" s="15">
        <v>3.0000000000000001E-3</v>
      </c>
      <c r="G56" s="15"/>
    </row>
    <row r="57" spans="1:7" x14ac:dyDescent="0.35">
      <c r="A57" s="12" t="s">
        <v>1530</v>
      </c>
      <c r="B57" s="30" t="s">
        <v>1531</v>
      </c>
      <c r="C57" s="30" t="s">
        <v>1057</v>
      </c>
      <c r="D57" s="13">
        <v>17242</v>
      </c>
      <c r="E57" s="14">
        <v>78.680000000000007</v>
      </c>
      <c r="F57" s="15">
        <v>2.8E-3</v>
      </c>
      <c r="G57" s="15"/>
    </row>
    <row r="58" spans="1:7" x14ac:dyDescent="0.35">
      <c r="A58" s="12" t="s">
        <v>1637</v>
      </c>
      <c r="B58" s="30" t="s">
        <v>1638</v>
      </c>
      <c r="C58" s="30" t="s">
        <v>953</v>
      </c>
      <c r="D58" s="13">
        <v>766</v>
      </c>
      <c r="E58" s="14">
        <v>78.349999999999994</v>
      </c>
      <c r="F58" s="15">
        <v>2.8E-3</v>
      </c>
      <c r="G58" s="15"/>
    </row>
    <row r="59" spans="1:7" x14ac:dyDescent="0.35">
      <c r="A59" s="12" t="s">
        <v>1167</v>
      </c>
      <c r="B59" s="30" t="s">
        <v>1168</v>
      </c>
      <c r="C59" s="30" t="s">
        <v>974</v>
      </c>
      <c r="D59" s="13">
        <v>12616</v>
      </c>
      <c r="E59" s="14">
        <v>76.95</v>
      </c>
      <c r="F59" s="15">
        <v>2.8E-3</v>
      </c>
      <c r="G59" s="15"/>
    </row>
    <row r="60" spans="1:7" x14ac:dyDescent="0.35">
      <c r="A60" s="12" t="s">
        <v>1442</v>
      </c>
      <c r="B60" s="30" t="s">
        <v>1443</v>
      </c>
      <c r="C60" s="30" t="s">
        <v>885</v>
      </c>
      <c r="D60" s="13">
        <v>2500</v>
      </c>
      <c r="E60" s="14">
        <v>74.95</v>
      </c>
      <c r="F60" s="15">
        <v>2.7000000000000001E-3</v>
      </c>
      <c r="G60" s="15"/>
    </row>
    <row r="61" spans="1:7" x14ac:dyDescent="0.35">
      <c r="A61" s="12" t="s">
        <v>1151</v>
      </c>
      <c r="B61" s="30" t="s">
        <v>1152</v>
      </c>
      <c r="C61" s="30" t="s">
        <v>943</v>
      </c>
      <c r="D61" s="13">
        <v>2068</v>
      </c>
      <c r="E61" s="14">
        <v>74.63</v>
      </c>
      <c r="F61" s="15">
        <v>2.7000000000000001E-3</v>
      </c>
      <c r="G61" s="15"/>
    </row>
    <row r="62" spans="1:7" x14ac:dyDescent="0.35">
      <c r="A62" s="12" t="s">
        <v>1184</v>
      </c>
      <c r="B62" s="30" t="s">
        <v>1185</v>
      </c>
      <c r="C62" s="30" t="s">
        <v>1186</v>
      </c>
      <c r="D62" s="13">
        <v>55000</v>
      </c>
      <c r="E62" s="14">
        <v>73.73</v>
      </c>
      <c r="F62" s="15">
        <v>2.7000000000000001E-3</v>
      </c>
      <c r="G62" s="15"/>
    </row>
    <row r="63" spans="1:7" x14ac:dyDescent="0.35">
      <c r="A63" s="12" t="s">
        <v>1176</v>
      </c>
      <c r="B63" s="30" t="s">
        <v>1177</v>
      </c>
      <c r="C63" s="30" t="s">
        <v>865</v>
      </c>
      <c r="D63" s="13">
        <v>24000</v>
      </c>
      <c r="E63" s="14">
        <v>72.88</v>
      </c>
      <c r="F63" s="15">
        <v>2.5999999999999999E-3</v>
      </c>
      <c r="G63" s="15"/>
    </row>
    <row r="64" spans="1:7" x14ac:dyDescent="0.35">
      <c r="A64" s="12" t="s">
        <v>1639</v>
      </c>
      <c r="B64" s="30" t="s">
        <v>1640</v>
      </c>
      <c r="C64" s="30" t="s">
        <v>868</v>
      </c>
      <c r="D64" s="13">
        <v>4600</v>
      </c>
      <c r="E64" s="14">
        <v>72.5</v>
      </c>
      <c r="F64" s="15">
        <v>2.5999999999999999E-3</v>
      </c>
      <c r="G64" s="15"/>
    </row>
    <row r="65" spans="1:7" x14ac:dyDescent="0.35">
      <c r="A65" s="12" t="s">
        <v>1421</v>
      </c>
      <c r="B65" s="30" t="s">
        <v>1422</v>
      </c>
      <c r="C65" s="30" t="s">
        <v>1015</v>
      </c>
      <c r="D65" s="13">
        <v>14352</v>
      </c>
      <c r="E65" s="14">
        <v>71.7</v>
      </c>
      <c r="F65" s="15">
        <v>2.5999999999999999E-3</v>
      </c>
      <c r="G65" s="15"/>
    </row>
    <row r="66" spans="1:7" x14ac:dyDescent="0.35">
      <c r="A66" s="12" t="s">
        <v>1459</v>
      </c>
      <c r="B66" s="30" t="s">
        <v>1460</v>
      </c>
      <c r="C66" s="30" t="s">
        <v>1175</v>
      </c>
      <c r="D66" s="13">
        <v>2000</v>
      </c>
      <c r="E66" s="14">
        <v>70.78</v>
      </c>
      <c r="F66" s="15">
        <v>2.5999999999999999E-3</v>
      </c>
      <c r="G66" s="15"/>
    </row>
    <row r="67" spans="1:7" x14ac:dyDescent="0.35">
      <c r="A67" s="12" t="s">
        <v>1407</v>
      </c>
      <c r="B67" s="30" t="s">
        <v>1408</v>
      </c>
      <c r="C67" s="30" t="s">
        <v>953</v>
      </c>
      <c r="D67" s="13">
        <v>2529</v>
      </c>
      <c r="E67" s="14">
        <v>69.66</v>
      </c>
      <c r="F67" s="15">
        <v>2.5000000000000001E-3</v>
      </c>
      <c r="G67" s="15"/>
    </row>
    <row r="68" spans="1:7" x14ac:dyDescent="0.35">
      <c r="A68" s="12" t="s">
        <v>1434</v>
      </c>
      <c r="B68" s="30" t="s">
        <v>1435</v>
      </c>
      <c r="C68" s="30" t="s">
        <v>931</v>
      </c>
      <c r="D68" s="13">
        <v>1800</v>
      </c>
      <c r="E68" s="14">
        <v>68.239999999999995</v>
      </c>
      <c r="F68" s="15">
        <v>2.5000000000000001E-3</v>
      </c>
      <c r="G68" s="15"/>
    </row>
    <row r="69" spans="1:7" x14ac:dyDescent="0.35">
      <c r="A69" s="12" t="s">
        <v>1411</v>
      </c>
      <c r="B69" s="30" t="s">
        <v>1412</v>
      </c>
      <c r="C69" s="30" t="s">
        <v>953</v>
      </c>
      <c r="D69" s="13">
        <v>12380</v>
      </c>
      <c r="E69" s="14">
        <v>66.44</v>
      </c>
      <c r="F69" s="15">
        <v>2.3999999999999998E-3</v>
      </c>
      <c r="G69" s="15"/>
    </row>
    <row r="70" spans="1:7" x14ac:dyDescent="0.35">
      <c r="A70" s="12" t="s">
        <v>1182</v>
      </c>
      <c r="B70" s="30" t="s">
        <v>1183</v>
      </c>
      <c r="C70" s="30" t="s">
        <v>943</v>
      </c>
      <c r="D70" s="13">
        <v>336</v>
      </c>
      <c r="E70" s="14">
        <v>64.67</v>
      </c>
      <c r="F70" s="15">
        <v>2.3E-3</v>
      </c>
      <c r="G70" s="15"/>
    </row>
    <row r="71" spans="1:7" x14ac:dyDescent="0.35">
      <c r="A71" s="12" t="s">
        <v>1565</v>
      </c>
      <c r="B71" s="30" t="s">
        <v>1566</v>
      </c>
      <c r="C71" s="30" t="s">
        <v>940</v>
      </c>
      <c r="D71" s="13">
        <v>3001</v>
      </c>
      <c r="E71" s="14">
        <v>61.86</v>
      </c>
      <c r="F71" s="15">
        <v>2.2000000000000001E-3</v>
      </c>
      <c r="G71" s="15"/>
    </row>
    <row r="72" spans="1:7" x14ac:dyDescent="0.35">
      <c r="A72" s="12" t="s">
        <v>1171</v>
      </c>
      <c r="B72" s="30" t="s">
        <v>1172</v>
      </c>
      <c r="C72" s="30" t="s">
        <v>971</v>
      </c>
      <c r="D72" s="13">
        <v>58418</v>
      </c>
      <c r="E72" s="14">
        <v>59.32</v>
      </c>
      <c r="F72" s="15">
        <v>2.0999999999999999E-3</v>
      </c>
      <c r="G72" s="15"/>
    </row>
    <row r="73" spans="1:7" x14ac:dyDescent="0.35">
      <c r="A73" s="12" t="s">
        <v>1405</v>
      </c>
      <c r="B73" s="30" t="s">
        <v>1406</v>
      </c>
      <c r="C73" s="30" t="s">
        <v>937</v>
      </c>
      <c r="D73" s="13">
        <v>2204</v>
      </c>
      <c r="E73" s="14">
        <v>56.18</v>
      </c>
      <c r="F73" s="15">
        <v>2E-3</v>
      </c>
      <c r="G73" s="15"/>
    </row>
    <row r="74" spans="1:7" x14ac:dyDescent="0.35">
      <c r="A74" s="12" t="s">
        <v>1450</v>
      </c>
      <c r="B74" s="30" t="s">
        <v>1451</v>
      </c>
      <c r="C74" s="30" t="s">
        <v>943</v>
      </c>
      <c r="D74" s="13">
        <v>2650</v>
      </c>
      <c r="E74" s="14">
        <v>47.29</v>
      </c>
      <c r="F74" s="15">
        <v>1.6999999999999999E-3</v>
      </c>
      <c r="G74" s="15"/>
    </row>
    <row r="75" spans="1:7" x14ac:dyDescent="0.35">
      <c r="A75" s="12" t="s">
        <v>1641</v>
      </c>
      <c r="B75" s="30" t="s">
        <v>1642</v>
      </c>
      <c r="C75" s="30" t="s">
        <v>1015</v>
      </c>
      <c r="D75" s="13">
        <v>12000</v>
      </c>
      <c r="E75" s="14">
        <v>42.63</v>
      </c>
      <c r="F75" s="15">
        <v>1.5E-3</v>
      </c>
      <c r="G75" s="15"/>
    </row>
    <row r="76" spans="1:7" x14ac:dyDescent="0.35">
      <c r="A76" s="12" t="s">
        <v>1454</v>
      </c>
      <c r="B76" s="30" t="s">
        <v>1455</v>
      </c>
      <c r="C76" s="30" t="s">
        <v>885</v>
      </c>
      <c r="D76" s="13">
        <v>8400</v>
      </c>
      <c r="E76" s="14">
        <v>32</v>
      </c>
      <c r="F76" s="15">
        <v>1.1999999999999999E-3</v>
      </c>
      <c r="G76" s="15"/>
    </row>
    <row r="77" spans="1:7" x14ac:dyDescent="0.35">
      <c r="A77" s="12" t="s">
        <v>883</v>
      </c>
      <c r="B77" s="30" t="s">
        <v>884</v>
      </c>
      <c r="C77" s="30" t="s">
        <v>885</v>
      </c>
      <c r="D77" s="13">
        <v>1085</v>
      </c>
      <c r="E77" s="14">
        <v>26.8</v>
      </c>
      <c r="F77" s="15">
        <v>1E-3</v>
      </c>
      <c r="G77" s="15"/>
    </row>
    <row r="78" spans="1:7" x14ac:dyDescent="0.35">
      <c r="A78" s="12" t="s">
        <v>860</v>
      </c>
      <c r="B78" s="30" t="s">
        <v>861</v>
      </c>
      <c r="C78" s="30" t="s">
        <v>862</v>
      </c>
      <c r="D78" s="13">
        <v>800</v>
      </c>
      <c r="E78" s="14">
        <v>15.22</v>
      </c>
      <c r="F78" s="15">
        <v>5.0000000000000001E-4</v>
      </c>
      <c r="G78" s="15"/>
    </row>
    <row r="79" spans="1:7" x14ac:dyDescent="0.35">
      <c r="A79" s="12" t="s">
        <v>1446</v>
      </c>
      <c r="B79" s="30" t="s">
        <v>1447</v>
      </c>
      <c r="C79" s="30" t="s">
        <v>908</v>
      </c>
      <c r="D79" s="13">
        <v>59</v>
      </c>
      <c r="E79" s="14">
        <v>1.6</v>
      </c>
      <c r="F79" s="15">
        <v>1E-4</v>
      </c>
      <c r="G79" s="15"/>
    </row>
    <row r="80" spans="1:7" x14ac:dyDescent="0.35">
      <c r="A80" s="16" t="s">
        <v>102</v>
      </c>
      <c r="B80" s="31"/>
      <c r="C80" s="31"/>
      <c r="D80" s="17"/>
      <c r="E80" s="37">
        <v>18214.599999999999</v>
      </c>
      <c r="F80" s="38">
        <v>0.65669999999999995</v>
      </c>
      <c r="G80" s="20"/>
    </row>
    <row r="81" spans="1:7" x14ac:dyDescent="0.35">
      <c r="A81" s="12"/>
      <c r="B81" s="30"/>
      <c r="C81" s="30"/>
      <c r="D81" s="13"/>
      <c r="E81" s="14"/>
      <c r="F81" s="15"/>
      <c r="G81" s="15"/>
    </row>
    <row r="82" spans="1:7" x14ac:dyDescent="0.35">
      <c r="A82" s="16" t="s">
        <v>1206</v>
      </c>
      <c r="B82" s="30"/>
      <c r="C82" s="30"/>
      <c r="D82" s="13"/>
      <c r="E82" s="14"/>
      <c r="F82" s="15"/>
      <c r="G82" s="15"/>
    </row>
    <row r="83" spans="1:7" x14ac:dyDescent="0.35">
      <c r="A83" s="12" t="s">
        <v>1643</v>
      </c>
      <c r="B83" s="30" t="s">
        <v>1644</v>
      </c>
      <c r="C83" s="30" t="s">
        <v>885</v>
      </c>
      <c r="D83" s="13">
        <v>4600</v>
      </c>
      <c r="E83" s="14">
        <v>13.88</v>
      </c>
      <c r="F83" s="15">
        <v>5.0000000000000001E-4</v>
      </c>
      <c r="G83" s="15"/>
    </row>
    <row r="84" spans="1:7" x14ac:dyDescent="0.35">
      <c r="A84" s="16" t="s">
        <v>102</v>
      </c>
      <c r="B84" s="31"/>
      <c r="C84" s="31"/>
      <c r="D84" s="17"/>
      <c r="E84" s="37">
        <v>13.88</v>
      </c>
      <c r="F84" s="38">
        <v>5.0000000000000001E-4</v>
      </c>
      <c r="G84" s="20"/>
    </row>
    <row r="85" spans="1:7" x14ac:dyDescent="0.35">
      <c r="A85" s="21" t="s">
        <v>129</v>
      </c>
      <c r="B85" s="32"/>
      <c r="C85" s="32"/>
      <c r="D85" s="22"/>
      <c r="E85" s="27">
        <v>18214.599999999999</v>
      </c>
      <c r="F85" s="28">
        <v>0.65669999999999995</v>
      </c>
      <c r="G85" s="20"/>
    </row>
    <row r="86" spans="1:7" x14ac:dyDescent="0.35">
      <c r="A86" s="12"/>
      <c r="B86" s="30"/>
      <c r="C86" s="30"/>
      <c r="D86" s="13"/>
      <c r="E86" s="14"/>
      <c r="F86" s="15"/>
      <c r="G86" s="15"/>
    </row>
    <row r="87" spans="1:7" x14ac:dyDescent="0.35">
      <c r="A87" s="16" t="s">
        <v>1207</v>
      </c>
      <c r="B87" s="30"/>
      <c r="C87" s="30"/>
      <c r="D87" s="13"/>
      <c r="E87" s="14"/>
      <c r="F87" s="15"/>
      <c r="G87" s="15"/>
    </row>
    <row r="88" spans="1:7" x14ac:dyDescent="0.35">
      <c r="A88" s="16" t="s">
        <v>1208</v>
      </c>
      <c r="B88" s="30"/>
      <c r="C88" s="30"/>
      <c r="D88" s="13"/>
      <c r="E88" s="14"/>
      <c r="F88" s="15"/>
      <c r="G88" s="15"/>
    </row>
    <row r="89" spans="1:7" x14ac:dyDescent="0.35">
      <c r="A89" s="12" t="s">
        <v>1221</v>
      </c>
      <c r="B89" s="30"/>
      <c r="C89" s="30" t="s">
        <v>958</v>
      </c>
      <c r="D89" s="13">
        <v>22500</v>
      </c>
      <c r="E89" s="14">
        <v>81.78</v>
      </c>
      <c r="F89" s="15">
        <v>2.947E-3</v>
      </c>
      <c r="G89" s="15"/>
    </row>
    <row r="90" spans="1:7" x14ac:dyDescent="0.35">
      <c r="A90" s="12" t="s">
        <v>1469</v>
      </c>
      <c r="B90" s="30"/>
      <c r="C90" s="30" t="s">
        <v>908</v>
      </c>
      <c r="D90" s="13">
        <v>2500</v>
      </c>
      <c r="E90" s="14">
        <v>67.959999999999994</v>
      </c>
      <c r="F90" s="15">
        <v>2.4489999999999998E-3</v>
      </c>
      <c r="G90" s="15"/>
    </row>
    <row r="91" spans="1:7" x14ac:dyDescent="0.35">
      <c r="A91" s="12" t="s">
        <v>1467</v>
      </c>
      <c r="B91" s="30"/>
      <c r="C91" s="30" t="s">
        <v>911</v>
      </c>
      <c r="D91" s="13">
        <v>1500</v>
      </c>
      <c r="E91" s="14">
        <v>56.83</v>
      </c>
      <c r="F91" s="15">
        <v>2.0479999999999999E-3</v>
      </c>
      <c r="G91" s="15"/>
    </row>
    <row r="92" spans="1:7" x14ac:dyDescent="0.35">
      <c r="A92" s="12" t="s">
        <v>1362</v>
      </c>
      <c r="B92" s="30"/>
      <c r="C92" s="30" t="s">
        <v>862</v>
      </c>
      <c r="D92" s="41">
        <v>-800</v>
      </c>
      <c r="E92" s="23">
        <v>-15.26</v>
      </c>
      <c r="F92" s="24">
        <v>-5.4900000000000001E-4</v>
      </c>
      <c r="G92" s="15"/>
    </row>
    <row r="93" spans="1:7" x14ac:dyDescent="0.35">
      <c r="A93" s="12" t="s">
        <v>1344</v>
      </c>
      <c r="B93" s="30"/>
      <c r="C93" s="30" t="s">
        <v>911</v>
      </c>
      <c r="D93" s="41">
        <v>-16800</v>
      </c>
      <c r="E93" s="23">
        <v>-175.5</v>
      </c>
      <c r="F93" s="24">
        <v>-6.326E-3</v>
      </c>
      <c r="G93" s="15"/>
    </row>
    <row r="94" spans="1:7" x14ac:dyDescent="0.35">
      <c r="A94" s="12" t="s">
        <v>1316</v>
      </c>
      <c r="B94" s="30"/>
      <c r="C94" s="30" t="s">
        <v>874</v>
      </c>
      <c r="D94" s="41">
        <v>-272000</v>
      </c>
      <c r="E94" s="23">
        <v>-191.35</v>
      </c>
      <c r="F94" s="24">
        <v>-6.8970000000000004E-3</v>
      </c>
      <c r="G94" s="15"/>
    </row>
    <row r="95" spans="1:7" x14ac:dyDescent="0.35">
      <c r="A95" s="12" t="s">
        <v>1330</v>
      </c>
      <c r="B95" s="30"/>
      <c r="C95" s="30" t="s">
        <v>882</v>
      </c>
      <c r="D95" s="41">
        <v>-42000</v>
      </c>
      <c r="E95" s="23">
        <v>-220.06</v>
      </c>
      <c r="F95" s="24">
        <v>-7.9319999999999998E-3</v>
      </c>
      <c r="G95" s="15"/>
    </row>
    <row r="96" spans="1:7" x14ac:dyDescent="0.35">
      <c r="A96" s="12" t="s">
        <v>1318</v>
      </c>
      <c r="B96" s="30"/>
      <c r="C96" s="30" t="s">
        <v>974</v>
      </c>
      <c r="D96" s="41">
        <v>-170200</v>
      </c>
      <c r="E96" s="23">
        <v>-382.18</v>
      </c>
      <c r="F96" s="24">
        <v>-1.3776E-2</v>
      </c>
      <c r="G96" s="15"/>
    </row>
    <row r="97" spans="1:7" x14ac:dyDescent="0.35">
      <c r="A97" s="12" t="s">
        <v>1359</v>
      </c>
      <c r="B97" s="30"/>
      <c r="C97" s="30" t="s">
        <v>871</v>
      </c>
      <c r="D97" s="41">
        <v>-15500</v>
      </c>
      <c r="E97" s="23">
        <v>-521.54</v>
      </c>
      <c r="F97" s="24">
        <v>-1.8800000000000001E-2</v>
      </c>
      <c r="G97" s="15"/>
    </row>
    <row r="98" spans="1:7" x14ac:dyDescent="0.35">
      <c r="A98" s="12" t="s">
        <v>1470</v>
      </c>
      <c r="B98" s="30"/>
      <c r="C98" s="30" t="s">
        <v>1471</v>
      </c>
      <c r="D98" s="41">
        <v>-3000</v>
      </c>
      <c r="E98" s="23">
        <v>-541.53</v>
      </c>
      <c r="F98" s="24">
        <v>-1.9521E-2</v>
      </c>
      <c r="G98" s="15"/>
    </row>
    <row r="99" spans="1:7" x14ac:dyDescent="0.35">
      <c r="A99" s="12" t="s">
        <v>1361</v>
      </c>
      <c r="B99" s="30"/>
      <c r="C99" s="30" t="s">
        <v>865</v>
      </c>
      <c r="D99" s="41">
        <v>-43750</v>
      </c>
      <c r="E99" s="23">
        <v>-1118.5999999999999</v>
      </c>
      <c r="F99" s="24">
        <v>-4.0322999999999998E-2</v>
      </c>
      <c r="G99" s="15"/>
    </row>
    <row r="100" spans="1:7" x14ac:dyDescent="0.35">
      <c r="A100" s="12" t="s">
        <v>1363</v>
      </c>
      <c r="B100" s="30"/>
      <c r="C100" s="30" t="s">
        <v>859</v>
      </c>
      <c r="D100" s="41">
        <v>-170000</v>
      </c>
      <c r="E100" s="23">
        <v>-1406.58</v>
      </c>
      <c r="F100" s="24">
        <v>-5.0703999999999999E-2</v>
      </c>
      <c r="G100" s="15"/>
    </row>
    <row r="101" spans="1:7" x14ac:dyDescent="0.35">
      <c r="A101" s="12" t="s">
        <v>1345</v>
      </c>
      <c r="B101" s="30"/>
      <c r="C101" s="30" t="s">
        <v>908</v>
      </c>
      <c r="D101" s="41">
        <v>-307800</v>
      </c>
      <c r="E101" s="23">
        <v>-1649.65</v>
      </c>
      <c r="F101" s="24">
        <v>-5.9465999999999998E-2</v>
      </c>
      <c r="G101" s="15"/>
    </row>
    <row r="102" spans="1:7" x14ac:dyDescent="0.35">
      <c r="A102" s="16" t="s">
        <v>102</v>
      </c>
      <c r="B102" s="31"/>
      <c r="C102" s="31"/>
      <c r="D102" s="17"/>
      <c r="E102" s="42">
        <v>-6015.68</v>
      </c>
      <c r="F102" s="43">
        <v>-0.21684999999999999</v>
      </c>
      <c r="G102" s="20"/>
    </row>
    <row r="103" spans="1:7" x14ac:dyDescent="0.35">
      <c r="A103" s="12"/>
      <c r="B103" s="30"/>
      <c r="C103" s="30"/>
      <c r="D103" s="13"/>
      <c r="E103" s="14"/>
      <c r="F103" s="15"/>
      <c r="G103" s="15"/>
    </row>
    <row r="104" spans="1:7" x14ac:dyDescent="0.35">
      <c r="A104" s="12"/>
      <c r="B104" s="30"/>
      <c r="C104" s="30"/>
      <c r="D104" s="13"/>
      <c r="E104" s="14"/>
      <c r="F104" s="15"/>
      <c r="G104" s="15"/>
    </row>
    <row r="105" spans="1:7" x14ac:dyDescent="0.35">
      <c r="A105" s="16" t="s">
        <v>1472</v>
      </c>
      <c r="B105" s="31"/>
      <c r="C105" s="31"/>
      <c r="D105" s="17"/>
      <c r="E105" s="46"/>
      <c r="F105" s="20"/>
      <c r="G105" s="20"/>
    </row>
    <row r="106" spans="1:7" x14ac:dyDescent="0.35">
      <c r="A106" s="12" t="s">
        <v>1473</v>
      </c>
      <c r="B106" s="30"/>
      <c r="C106" s="30" t="s">
        <v>1474</v>
      </c>
      <c r="D106" s="13">
        <v>10000</v>
      </c>
      <c r="E106" s="14">
        <v>52.92</v>
      </c>
      <c r="F106" s="15">
        <v>1.9E-3</v>
      </c>
      <c r="G106" s="15"/>
    </row>
    <row r="107" spans="1:7" x14ac:dyDescent="0.35">
      <c r="A107" s="12" t="s">
        <v>1645</v>
      </c>
      <c r="B107" s="30"/>
      <c r="C107" s="30" t="s">
        <v>1476</v>
      </c>
      <c r="D107" s="41">
        <v>-3600</v>
      </c>
      <c r="E107" s="23">
        <v>-0.08</v>
      </c>
      <c r="F107" s="15">
        <v>0</v>
      </c>
      <c r="G107" s="15"/>
    </row>
    <row r="108" spans="1:7" x14ac:dyDescent="0.35">
      <c r="A108" s="12" t="s">
        <v>1646</v>
      </c>
      <c r="B108" s="30"/>
      <c r="C108" s="30" t="s">
        <v>1476</v>
      </c>
      <c r="D108" s="41">
        <v>-17100</v>
      </c>
      <c r="E108" s="23">
        <v>-0.14000000000000001</v>
      </c>
      <c r="F108" s="15">
        <v>0</v>
      </c>
      <c r="G108" s="15"/>
    </row>
    <row r="109" spans="1:7" x14ac:dyDescent="0.35">
      <c r="A109" s="12" t="s">
        <v>1647</v>
      </c>
      <c r="B109" s="30"/>
      <c r="C109" s="30" t="s">
        <v>1476</v>
      </c>
      <c r="D109" s="41">
        <v>-12750</v>
      </c>
      <c r="E109" s="23">
        <v>-0.16</v>
      </c>
      <c r="F109" s="15">
        <v>0</v>
      </c>
      <c r="G109" s="15"/>
    </row>
    <row r="110" spans="1:7" x14ac:dyDescent="0.35">
      <c r="A110" s="12" t="s">
        <v>1648</v>
      </c>
      <c r="B110" s="30"/>
      <c r="C110" s="30" t="s">
        <v>1476</v>
      </c>
      <c r="D110" s="41">
        <v>-1100</v>
      </c>
      <c r="E110" s="23">
        <v>-0.16</v>
      </c>
      <c r="F110" s="15">
        <v>0</v>
      </c>
      <c r="G110" s="15"/>
    </row>
    <row r="111" spans="1:7" x14ac:dyDescent="0.35">
      <c r="A111" s="12" t="s">
        <v>1649</v>
      </c>
      <c r="B111" s="30"/>
      <c r="C111" s="30" t="s">
        <v>1476</v>
      </c>
      <c r="D111" s="41">
        <v>-450</v>
      </c>
      <c r="E111" s="23">
        <v>-0.16</v>
      </c>
      <c r="F111" s="15">
        <v>0</v>
      </c>
      <c r="G111" s="15"/>
    </row>
    <row r="112" spans="1:7" x14ac:dyDescent="0.35">
      <c r="A112" s="12" t="s">
        <v>1650</v>
      </c>
      <c r="B112" s="30"/>
      <c r="C112" s="30" t="s">
        <v>1476</v>
      </c>
      <c r="D112" s="41">
        <v>-1800</v>
      </c>
      <c r="E112" s="23">
        <v>-0.21</v>
      </c>
      <c r="F112" s="15">
        <v>0</v>
      </c>
      <c r="G112" s="15"/>
    </row>
    <row r="113" spans="1:7" x14ac:dyDescent="0.35">
      <c r="A113" s="12" t="s">
        <v>1651</v>
      </c>
      <c r="B113" s="30"/>
      <c r="C113" s="30" t="s">
        <v>1476</v>
      </c>
      <c r="D113" s="41">
        <v>-1200</v>
      </c>
      <c r="E113" s="23">
        <v>-0.23</v>
      </c>
      <c r="F113" s="15">
        <v>0</v>
      </c>
      <c r="G113" s="15"/>
    </row>
    <row r="114" spans="1:7" x14ac:dyDescent="0.35">
      <c r="A114" s="12" t="s">
        <v>1652</v>
      </c>
      <c r="B114" s="30"/>
      <c r="C114" s="30" t="s">
        <v>1476</v>
      </c>
      <c r="D114" s="41">
        <v>-2400</v>
      </c>
      <c r="E114" s="23">
        <v>-0.25</v>
      </c>
      <c r="F114" s="15">
        <v>0</v>
      </c>
      <c r="G114" s="15"/>
    </row>
    <row r="115" spans="1:7" x14ac:dyDescent="0.35">
      <c r="A115" s="12" t="s">
        <v>1653</v>
      </c>
      <c r="B115" s="30"/>
      <c r="C115" s="30" t="s">
        <v>1476</v>
      </c>
      <c r="D115" s="41">
        <v>-875</v>
      </c>
      <c r="E115" s="23">
        <v>-0.25</v>
      </c>
      <c r="F115" s="15">
        <v>0</v>
      </c>
      <c r="G115" s="15"/>
    </row>
    <row r="116" spans="1:7" x14ac:dyDescent="0.35">
      <c r="A116" s="12" t="s">
        <v>1654</v>
      </c>
      <c r="B116" s="30"/>
      <c r="C116" s="30" t="s">
        <v>1476</v>
      </c>
      <c r="D116" s="41">
        <v>-8400</v>
      </c>
      <c r="E116" s="23">
        <v>-0.26</v>
      </c>
      <c r="F116" s="15">
        <v>0</v>
      </c>
      <c r="G116" s="15"/>
    </row>
    <row r="117" spans="1:7" x14ac:dyDescent="0.35">
      <c r="A117" s="12" t="s">
        <v>1655</v>
      </c>
      <c r="B117" s="30"/>
      <c r="C117" s="30" t="s">
        <v>1476</v>
      </c>
      <c r="D117" s="41">
        <v>-2400</v>
      </c>
      <c r="E117" s="23">
        <v>-0.32</v>
      </c>
      <c r="F117" s="15">
        <v>0</v>
      </c>
      <c r="G117" s="15"/>
    </row>
    <row r="118" spans="1:7" x14ac:dyDescent="0.35">
      <c r="A118" s="12" t="s">
        <v>1477</v>
      </c>
      <c r="B118" s="30"/>
      <c r="C118" s="30" t="s">
        <v>1476</v>
      </c>
      <c r="D118" s="41">
        <v>-5375</v>
      </c>
      <c r="E118" s="23">
        <v>-0.35</v>
      </c>
      <c r="F118" s="15">
        <v>0</v>
      </c>
      <c r="G118" s="15"/>
    </row>
    <row r="119" spans="1:7" x14ac:dyDescent="0.35">
      <c r="A119" s="12" t="s">
        <v>1656</v>
      </c>
      <c r="B119" s="30"/>
      <c r="C119" s="30" t="s">
        <v>1476</v>
      </c>
      <c r="D119" s="41">
        <v>-2800</v>
      </c>
      <c r="E119" s="23">
        <v>-0.37</v>
      </c>
      <c r="F119" s="15">
        <v>0</v>
      </c>
      <c r="G119" s="15"/>
    </row>
    <row r="120" spans="1:7" x14ac:dyDescent="0.35">
      <c r="A120" s="12" t="s">
        <v>1657</v>
      </c>
      <c r="B120" s="30"/>
      <c r="C120" s="30" t="s">
        <v>1476</v>
      </c>
      <c r="D120" s="41">
        <v>-1500</v>
      </c>
      <c r="E120" s="23">
        <v>-0.4</v>
      </c>
      <c r="F120" s="15">
        <v>0</v>
      </c>
      <c r="G120" s="15"/>
    </row>
    <row r="121" spans="1:7" x14ac:dyDescent="0.35">
      <c r="A121" s="12" t="s">
        <v>1658</v>
      </c>
      <c r="B121" s="30"/>
      <c r="C121" s="30" t="s">
        <v>1476</v>
      </c>
      <c r="D121" s="41">
        <v>-300</v>
      </c>
      <c r="E121" s="23">
        <v>-0.44</v>
      </c>
      <c r="F121" s="15">
        <v>0</v>
      </c>
      <c r="G121" s="15"/>
    </row>
    <row r="122" spans="1:7" x14ac:dyDescent="0.35">
      <c r="A122" s="12" t="s">
        <v>1659</v>
      </c>
      <c r="B122" s="30"/>
      <c r="C122" s="30" t="s">
        <v>1476</v>
      </c>
      <c r="D122" s="41">
        <v>-3900</v>
      </c>
      <c r="E122" s="23">
        <v>-0.56999999999999995</v>
      </c>
      <c r="F122" s="15">
        <v>0</v>
      </c>
      <c r="G122" s="15"/>
    </row>
    <row r="123" spans="1:7" x14ac:dyDescent="0.35">
      <c r="A123" s="12" t="s">
        <v>1660</v>
      </c>
      <c r="B123" s="30"/>
      <c r="C123" s="30" t="s">
        <v>1476</v>
      </c>
      <c r="D123" s="41">
        <v>-750</v>
      </c>
      <c r="E123" s="23">
        <v>-0.72</v>
      </c>
      <c r="F123" s="15">
        <v>0</v>
      </c>
      <c r="G123" s="15"/>
    </row>
    <row r="124" spans="1:7" x14ac:dyDescent="0.35">
      <c r="A124" s="12" t="s">
        <v>1661</v>
      </c>
      <c r="B124" s="30"/>
      <c r="C124" s="30" t="s">
        <v>1476</v>
      </c>
      <c r="D124" s="41">
        <v>-2800</v>
      </c>
      <c r="E124" s="23">
        <v>-0.78</v>
      </c>
      <c r="F124" s="15">
        <v>0</v>
      </c>
      <c r="G124" s="15"/>
    </row>
    <row r="125" spans="1:7" x14ac:dyDescent="0.35">
      <c r="A125" s="12" t="s">
        <v>1662</v>
      </c>
      <c r="B125" s="30"/>
      <c r="C125" s="30" t="s">
        <v>1476</v>
      </c>
      <c r="D125" s="41">
        <v>-20625</v>
      </c>
      <c r="E125" s="23">
        <v>-1.03</v>
      </c>
      <c r="F125" s="15">
        <v>0</v>
      </c>
      <c r="G125" s="15"/>
    </row>
    <row r="126" spans="1:7" x14ac:dyDescent="0.35">
      <c r="A126" s="12" t="s">
        <v>1663</v>
      </c>
      <c r="B126" s="30"/>
      <c r="C126" s="30" t="s">
        <v>1476</v>
      </c>
      <c r="D126" s="41">
        <v>-15600</v>
      </c>
      <c r="E126" s="23">
        <v>-1.08</v>
      </c>
      <c r="F126" s="15">
        <v>0</v>
      </c>
      <c r="G126" s="15"/>
    </row>
    <row r="127" spans="1:7" x14ac:dyDescent="0.35">
      <c r="A127" s="12" t="s">
        <v>1478</v>
      </c>
      <c r="B127" s="30"/>
      <c r="C127" s="30" t="s">
        <v>1476</v>
      </c>
      <c r="D127" s="41">
        <v>-51200</v>
      </c>
      <c r="E127" s="23">
        <v>-1.18</v>
      </c>
      <c r="F127" s="15">
        <v>0</v>
      </c>
      <c r="G127" s="15"/>
    </row>
    <row r="128" spans="1:7" x14ac:dyDescent="0.35">
      <c r="A128" s="12" t="s">
        <v>1664</v>
      </c>
      <c r="B128" s="30"/>
      <c r="C128" s="30" t="s">
        <v>1476</v>
      </c>
      <c r="D128" s="41">
        <v>-6000</v>
      </c>
      <c r="E128" s="23">
        <v>-1.63</v>
      </c>
      <c r="F128" s="24">
        <v>-1E-4</v>
      </c>
      <c r="G128" s="15"/>
    </row>
    <row r="129" spans="1:7" x14ac:dyDescent="0.35">
      <c r="A129" s="12" t="s">
        <v>1665</v>
      </c>
      <c r="B129" s="30"/>
      <c r="C129" s="30" t="s">
        <v>1476</v>
      </c>
      <c r="D129" s="41">
        <v>-900</v>
      </c>
      <c r="E129" s="23">
        <v>-1.73</v>
      </c>
      <c r="F129" s="24">
        <v>-1E-4</v>
      </c>
      <c r="G129" s="15"/>
    </row>
    <row r="130" spans="1:7" x14ac:dyDescent="0.35">
      <c r="A130" s="16" t="s">
        <v>102</v>
      </c>
      <c r="B130" s="31"/>
      <c r="C130" s="31"/>
      <c r="D130" s="17"/>
      <c r="E130" s="37">
        <v>40.42</v>
      </c>
      <c r="F130" s="38">
        <v>1.6999999999999999E-3</v>
      </c>
      <c r="G130" s="20"/>
    </row>
    <row r="131" spans="1:7" x14ac:dyDescent="0.35">
      <c r="A131" s="12"/>
      <c r="B131" s="30"/>
      <c r="C131" s="30"/>
      <c r="D131" s="13"/>
      <c r="E131" s="14"/>
      <c r="F131" s="15"/>
      <c r="G131" s="15"/>
    </row>
    <row r="132" spans="1:7" x14ac:dyDescent="0.35">
      <c r="A132" s="21" t="s">
        <v>129</v>
      </c>
      <c r="B132" s="32"/>
      <c r="C132" s="32"/>
      <c r="D132" s="22"/>
      <c r="E132" s="18">
        <v>40.42</v>
      </c>
      <c r="F132" s="19">
        <v>1.6999999999999999E-3</v>
      </c>
      <c r="G132" s="20"/>
    </row>
    <row r="133" spans="1:7" x14ac:dyDescent="0.35">
      <c r="A133" s="16" t="s">
        <v>137</v>
      </c>
      <c r="B133" s="30"/>
      <c r="C133" s="30"/>
      <c r="D133" s="13"/>
      <c r="E133" s="14"/>
      <c r="F133" s="15"/>
      <c r="G133" s="15"/>
    </row>
    <row r="134" spans="1:7" x14ac:dyDescent="0.35">
      <c r="A134" s="16" t="s">
        <v>138</v>
      </c>
      <c r="B134" s="30"/>
      <c r="C134" s="30"/>
      <c r="D134" s="13"/>
      <c r="E134" s="14"/>
      <c r="F134" s="15"/>
      <c r="G134" s="15"/>
    </row>
    <row r="135" spans="1:7" x14ac:dyDescent="0.35">
      <c r="A135" s="12" t="s">
        <v>543</v>
      </c>
      <c r="B135" s="30" t="s">
        <v>544</v>
      </c>
      <c r="C135" s="30" t="s">
        <v>141</v>
      </c>
      <c r="D135" s="13">
        <v>500000</v>
      </c>
      <c r="E135" s="14">
        <v>498.56</v>
      </c>
      <c r="F135" s="15">
        <v>1.7999999999999999E-2</v>
      </c>
      <c r="G135" s="15">
        <v>7.4450000000000002E-2</v>
      </c>
    </row>
    <row r="136" spans="1:7" x14ac:dyDescent="0.35">
      <c r="A136" s="16" t="s">
        <v>102</v>
      </c>
      <c r="B136" s="31"/>
      <c r="C136" s="31"/>
      <c r="D136" s="17"/>
      <c r="E136" s="37">
        <v>498.56</v>
      </c>
      <c r="F136" s="38">
        <v>1.7999999999999999E-2</v>
      </c>
      <c r="G136" s="20"/>
    </row>
    <row r="137" spans="1:7" x14ac:dyDescent="0.35">
      <c r="A137" s="12"/>
      <c r="B137" s="30"/>
      <c r="C137" s="30"/>
      <c r="D137" s="13"/>
      <c r="E137" s="14"/>
      <c r="F137" s="15"/>
      <c r="G137" s="15"/>
    </row>
    <row r="138" spans="1:7" x14ac:dyDescent="0.35">
      <c r="A138" s="16" t="s">
        <v>403</v>
      </c>
      <c r="B138" s="30"/>
      <c r="C138" s="30"/>
      <c r="D138" s="13"/>
      <c r="E138" s="14"/>
      <c r="F138" s="15"/>
      <c r="G138" s="15"/>
    </row>
    <row r="139" spans="1:7" x14ac:dyDescent="0.35">
      <c r="A139" s="12" t="s">
        <v>758</v>
      </c>
      <c r="B139" s="30" t="s">
        <v>759</v>
      </c>
      <c r="C139" s="30" t="s">
        <v>101</v>
      </c>
      <c r="D139" s="13">
        <v>4900000</v>
      </c>
      <c r="E139" s="14">
        <v>4653.29</v>
      </c>
      <c r="F139" s="15">
        <v>0.16769999999999999</v>
      </c>
      <c r="G139" s="15">
        <v>7.3070999999999997E-2</v>
      </c>
    </row>
    <row r="140" spans="1:7" x14ac:dyDescent="0.35">
      <c r="A140" s="16" t="s">
        <v>102</v>
      </c>
      <c r="B140" s="31"/>
      <c r="C140" s="31"/>
      <c r="D140" s="17"/>
      <c r="E140" s="37">
        <v>4653.29</v>
      </c>
      <c r="F140" s="38">
        <v>0.16769999999999999</v>
      </c>
      <c r="G140" s="20"/>
    </row>
    <row r="141" spans="1:7" x14ac:dyDescent="0.35">
      <c r="A141" s="12"/>
      <c r="B141" s="30"/>
      <c r="C141" s="30"/>
      <c r="D141" s="13"/>
      <c r="E141" s="14"/>
      <c r="F141" s="15"/>
      <c r="G141" s="15"/>
    </row>
    <row r="142" spans="1:7" x14ac:dyDescent="0.35">
      <c r="A142" s="16" t="s">
        <v>192</v>
      </c>
      <c r="B142" s="30"/>
      <c r="C142" s="30"/>
      <c r="D142" s="13"/>
      <c r="E142" s="14"/>
      <c r="F142" s="15"/>
      <c r="G142" s="15"/>
    </row>
    <row r="143" spans="1:7" x14ac:dyDescent="0.35">
      <c r="A143" s="16" t="s">
        <v>102</v>
      </c>
      <c r="B143" s="30"/>
      <c r="C143" s="30"/>
      <c r="D143" s="13"/>
      <c r="E143" s="39" t="s">
        <v>96</v>
      </c>
      <c r="F143" s="40" t="s">
        <v>96</v>
      </c>
      <c r="G143" s="15"/>
    </row>
    <row r="144" spans="1:7" x14ac:dyDescent="0.35">
      <c r="A144" s="12"/>
      <c r="B144" s="30"/>
      <c r="C144" s="30"/>
      <c r="D144" s="13"/>
      <c r="E144" s="14"/>
      <c r="F144" s="15"/>
      <c r="G144" s="15"/>
    </row>
    <row r="145" spans="1:7" x14ac:dyDescent="0.35">
      <c r="A145" s="16" t="s">
        <v>193</v>
      </c>
      <c r="B145" s="30"/>
      <c r="C145" s="30"/>
      <c r="D145" s="13"/>
      <c r="E145" s="14"/>
      <c r="F145" s="15"/>
      <c r="G145" s="15"/>
    </row>
    <row r="146" spans="1:7" x14ac:dyDescent="0.35">
      <c r="A146" s="16" t="s">
        <v>102</v>
      </c>
      <c r="B146" s="30"/>
      <c r="C146" s="30"/>
      <c r="D146" s="13"/>
      <c r="E146" s="39" t="s">
        <v>96</v>
      </c>
      <c r="F146" s="40" t="s">
        <v>96</v>
      </c>
      <c r="G146" s="15"/>
    </row>
    <row r="147" spans="1:7" x14ac:dyDescent="0.35">
      <c r="A147" s="12"/>
      <c r="B147" s="30"/>
      <c r="C147" s="30"/>
      <c r="D147" s="13"/>
      <c r="E147" s="14"/>
      <c r="F147" s="15"/>
      <c r="G147" s="15"/>
    </row>
    <row r="148" spans="1:7" x14ac:dyDescent="0.35">
      <c r="A148" s="21" t="s">
        <v>129</v>
      </c>
      <c r="B148" s="32"/>
      <c r="C148" s="32"/>
      <c r="D148" s="22"/>
      <c r="E148" s="18">
        <v>5151.8500000000004</v>
      </c>
      <c r="F148" s="19">
        <v>0.1857</v>
      </c>
      <c r="G148" s="20"/>
    </row>
    <row r="149" spans="1:7" x14ac:dyDescent="0.35">
      <c r="A149" s="12"/>
      <c r="B149" s="30"/>
      <c r="C149" s="30"/>
      <c r="D149" s="13"/>
      <c r="E149" s="14"/>
      <c r="F149" s="15"/>
      <c r="G149" s="15"/>
    </row>
    <row r="150" spans="1:7" x14ac:dyDescent="0.35">
      <c r="A150" s="16" t="s">
        <v>97</v>
      </c>
      <c r="B150" s="30"/>
      <c r="C150" s="30"/>
      <c r="D150" s="13"/>
      <c r="E150" s="14"/>
      <c r="F150" s="15"/>
      <c r="G150" s="15"/>
    </row>
    <row r="151" spans="1:7" x14ac:dyDescent="0.35">
      <c r="A151" s="12"/>
      <c r="B151" s="30"/>
      <c r="C151" s="30"/>
      <c r="D151" s="13"/>
      <c r="E151" s="14"/>
      <c r="F151" s="15"/>
      <c r="G151" s="15"/>
    </row>
    <row r="152" spans="1:7" x14ac:dyDescent="0.35">
      <c r="A152" s="16" t="s">
        <v>98</v>
      </c>
      <c r="B152" s="30"/>
      <c r="C152" s="30"/>
      <c r="D152" s="13"/>
      <c r="E152" s="14"/>
      <c r="F152" s="15"/>
      <c r="G152" s="15"/>
    </row>
    <row r="153" spans="1:7" x14ac:dyDescent="0.35">
      <c r="A153" s="12" t="s">
        <v>1386</v>
      </c>
      <c r="B153" s="30" t="s">
        <v>1387</v>
      </c>
      <c r="C153" s="30" t="s">
        <v>101</v>
      </c>
      <c r="D153" s="13">
        <v>1000000</v>
      </c>
      <c r="E153" s="14">
        <v>978.69</v>
      </c>
      <c r="F153" s="15">
        <v>3.5299999999999998E-2</v>
      </c>
      <c r="G153" s="15">
        <v>6.5698999999999994E-2</v>
      </c>
    </row>
    <row r="154" spans="1:7" x14ac:dyDescent="0.35">
      <c r="A154" s="16" t="s">
        <v>102</v>
      </c>
      <c r="B154" s="31"/>
      <c r="C154" s="31"/>
      <c r="D154" s="17"/>
      <c r="E154" s="37">
        <v>978.69</v>
      </c>
      <c r="F154" s="38">
        <v>3.5299999999999998E-2</v>
      </c>
      <c r="G154" s="20"/>
    </row>
    <row r="155" spans="1:7" x14ac:dyDescent="0.35">
      <c r="A155" s="12"/>
      <c r="B155" s="30"/>
      <c r="C155" s="30"/>
      <c r="D155" s="13"/>
      <c r="E155" s="14"/>
      <c r="F155" s="15"/>
      <c r="G155" s="15"/>
    </row>
    <row r="156" spans="1:7" x14ac:dyDescent="0.35">
      <c r="A156" s="21" t="s">
        <v>129</v>
      </c>
      <c r="B156" s="32"/>
      <c r="C156" s="32"/>
      <c r="D156" s="22"/>
      <c r="E156" s="18">
        <v>978.69</v>
      </c>
      <c r="F156" s="19">
        <v>3.5299999999999998E-2</v>
      </c>
      <c r="G156" s="20"/>
    </row>
    <row r="157" spans="1:7" x14ac:dyDescent="0.35">
      <c r="A157" s="12"/>
      <c r="B157" s="30"/>
      <c r="C157" s="30"/>
      <c r="D157" s="13"/>
      <c r="E157" s="14"/>
      <c r="F157" s="15"/>
      <c r="G157" s="15"/>
    </row>
    <row r="158" spans="1:7" x14ac:dyDescent="0.35">
      <c r="A158" s="12"/>
      <c r="B158" s="30"/>
      <c r="C158" s="30"/>
      <c r="D158" s="13"/>
      <c r="E158" s="14"/>
      <c r="F158" s="15"/>
      <c r="G158" s="15"/>
    </row>
    <row r="159" spans="1:7" x14ac:dyDescent="0.35">
      <c r="A159" s="16" t="s">
        <v>605</v>
      </c>
      <c r="B159" s="30"/>
      <c r="C159" s="30"/>
      <c r="D159" s="13"/>
      <c r="E159" s="14"/>
      <c r="F159" s="15"/>
      <c r="G159" s="15"/>
    </row>
    <row r="160" spans="1:7" x14ac:dyDescent="0.35">
      <c r="A160" s="12" t="s">
        <v>1666</v>
      </c>
      <c r="B160" s="30" t="s">
        <v>1667</v>
      </c>
      <c r="C160" s="30"/>
      <c r="D160" s="13">
        <v>47098.75</v>
      </c>
      <c r="E160" s="14">
        <v>1330.7</v>
      </c>
      <c r="F160" s="15">
        <v>4.8000000000000001E-2</v>
      </c>
      <c r="G160" s="15"/>
    </row>
    <row r="161" spans="1:7" x14ac:dyDescent="0.35">
      <c r="A161" s="12"/>
      <c r="B161" s="30"/>
      <c r="C161" s="30"/>
      <c r="D161" s="13"/>
      <c r="E161" s="14"/>
      <c r="F161" s="15"/>
      <c r="G161" s="15"/>
    </row>
    <row r="162" spans="1:7" x14ac:dyDescent="0.35">
      <c r="A162" s="21" t="s">
        <v>129</v>
      </c>
      <c r="B162" s="32"/>
      <c r="C162" s="32"/>
      <c r="D162" s="22"/>
      <c r="E162" s="18">
        <v>1330.7</v>
      </c>
      <c r="F162" s="19">
        <v>4.8000000000000001E-2</v>
      </c>
      <c r="G162" s="20"/>
    </row>
    <row r="163" spans="1:7" x14ac:dyDescent="0.35">
      <c r="A163" s="12"/>
      <c r="B163" s="30"/>
      <c r="C163" s="30"/>
      <c r="D163" s="13"/>
      <c r="E163" s="14"/>
      <c r="F163" s="15"/>
      <c r="G163" s="15"/>
    </row>
    <row r="164" spans="1:7" x14ac:dyDescent="0.35">
      <c r="A164" s="16" t="s">
        <v>130</v>
      </c>
      <c r="B164" s="30"/>
      <c r="C164" s="30"/>
      <c r="D164" s="13"/>
      <c r="E164" s="14"/>
      <c r="F164" s="15"/>
      <c r="G164" s="15"/>
    </row>
    <row r="165" spans="1:7" x14ac:dyDescent="0.35">
      <c r="A165" s="12" t="s">
        <v>131</v>
      </c>
      <c r="B165" s="30"/>
      <c r="C165" s="30"/>
      <c r="D165" s="13"/>
      <c r="E165" s="14">
        <v>2278.62</v>
      </c>
      <c r="F165" s="15">
        <v>8.2100000000000006E-2</v>
      </c>
      <c r="G165" s="103">
        <v>6.1074000000000003E-2</v>
      </c>
    </row>
    <row r="166" spans="1:7" x14ac:dyDescent="0.35">
      <c r="A166" s="16" t="s">
        <v>102</v>
      </c>
      <c r="B166" s="31"/>
      <c r="C166" s="31"/>
      <c r="D166" s="17"/>
      <c r="E166" s="37">
        <v>2278.62</v>
      </c>
      <c r="F166" s="38">
        <v>8.2100000000000006E-2</v>
      </c>
      <c r="G166" s="104"/>
    </row>
    <row r="167" spans="1:7" x14ac:dyDescent="0.35">
      <c r="A167" s="12"/>
      <c r="B167" s="30"/>
      <c r="C167" s="30"/>
      <c r="D167" s="13"/>
      <c r="E167" s="14"/>
      <c r="F167" s="15"/>
      <c r="G167" s="103"/>
    </row>
    <row r="168" spans="1:7" x14ac:dyDescent="0.35">
      <c r="A168" s="21" t="s">
        <v>129</v>
      </c>
      <c r="B168" s="32"/>
      <c r="C168" s="32"/>
      <c r="D168" s="22"/>
      <c r="E168" s="18">
        <v>2278.62</v>
      </c>
      <c r="F168" s="19">
        <v>8.2100000000000006E-2</v>
      </c>
      <c r="G168" s="104"/>
    </row>
    <row r="169" spans="1:7" x14ac:dyDescent="0.35">
      <c r="A169" s="12" t="s">
        <v>132</v>
      </c>
      <c r="B169" s="30"/>
      <c r="C169" s="30"/>
      <c r="D169" s="13"/>
      <c r="E169" s="14">
        <v>29.721625700000001</v>
      </c>
      <c r="F169" s="15">
        <v>1.0709999999999999E-3</v>
      </c>
      <c r="G169" s="103"/>
    </row>
    <row r="170" spans="1:7" x14ac:dyDescent="0.35">
      <c r="A170" s="12" t="s">
        <v>133</v>
      </c>
      <c r="B170" s="30"/>
      <c r="C170" s="30"/>
      <c r="D170" s="13"/>
      <c r="E170" s="23">
        <v>-283.81162569999998</v>
      </c>
      <c r="F170" s="24">
        <v>-1.0571000000000001E-2</v>
      </c>
      <c r="G170" s="103">
        <v>6.1074000000000003E-2</v>
      </c>
    </row>
    <row r="171" spans="1:7" x14ac:dyDescent="0.35">
      <c r="A171" s="25" t="s">
        <v>134</v>
      </c>
      <c r="B171" s="33"/>
      <c r="C171" s="33"/>
      <c r="D171" s="26"/>
      <c r="E171" s="27">
        <v>27740.79</v>
      </c>
      <c r="F171" s="28">
        <v>1</v>
      </c>
      <c r="G171" s="28"/>
    </row>
    <row r="173" spans="1:7" x14ac:dyDescent="0.35">
      <c r="A173" s="1" t="s">
        <v>1400</v>
      </c>
    </row>
    <row r="174" spans="1:7" x14ac:dyDescent="0.35">
      <c r="A174" s="1" t="s">
        <v>136</v>
      </c>
    </row>
    <row r="176" spans="1:7" x14ac:dyDescent="0.35">
      <c r="A176" s="1" t="s">
        <v>1981</v>
      </c>
    </row>
    <row r="177" spans="1:7" x14ac:dyDescent="0.35">
      <c r="A177" s="47" t="s">
        <v>1982</v>
      </c>
      <c r="B177" s="34" t="s">
        <v>96</v>
      </c>
    </row>
    <row r="178" spans="1:7" x14ac:dyDescent="0.35">
      <c r="A178" t="s">
        <v>1983</v>
      </c>
    </row>
    <row r="179" spans="1:7" x14ac:dyDescent="0.35">
      <c r="A179" t="s">
        <v>1984</v>
      </c>
      <c r="B179" t="s">
        <v>1985</v>
      </c>
      <c r="C179" t="s">
        <v>1985</v>
      </c>
    </row>
    <row r="180" spans="1:7" x14ac:dyDescent="0.35">
      <c r="B180" s="48">
        <v>44834</v>
      </c>
      <c r="C180" s="48">
        <v>44865</v>
      </c>
    </row>
    <row r="181" spans="1:7" x14ac:dyDescent="0.35">
      <c r="A181" t="s">
        <v>1987</v>
      </c>
      <c r="B181">
        <v>19.793399999999998</v>
      </c>
      <c r="C181">
        <v>20.165400000000002</v>
      </c>
      <c r="E181" s="2"/>
      <c r="G181"/>
    </row>
    <row r="182" spans="1:7" x14ac:dyDescent="0.35">
      <c r="A182" t="s">
        <v>1989</v>
      </c>
      <c r="B182">
        <v>19.785499999999999</v>
      </c>
      <c r="C182">
        <v>20.1571</v>
      </c>
      <c r="E182" s="2"/>
      <c r="G182"/>
    </row>
    <row r="183" spans="1:7" x14ac:dyDescent="0.35">
      <c r="A183" t="s">
        <v>1990</v>
      </c>
      <c r="B183">
        <v>14.382300000000001</v>
      </c>
      <c r="C183">
        <v>14.6525</v>
      </c>
      <c r="E183" s="2"/>
      <c r="G183"/>
    </row>
    <row r="184" spans="1:7" x14ac:dyDescent="0.35">
      <c r="A184" t="s">
        <v>2011</v>
      </c>
      <c r="B184">
        <v>13.8725</v>
      </c>
      <c r="C184">
        <v>14.052899999999999</v>
      </c>
      <c r="E184" s="2"/>
      <c r="G184"/>
    </row>
    <row r="185" spans="1:7" x14ac:dyDescent="0.35">
      <c r="A185" t="s">
        <v>1998</v>
      </c>
      <c r="B185">
        <v>18.4909</v>
      </c>
      <c r="C185">
        <v>18.815999999999999</v>
      </c>
      <c r="E185" s="2"/>
      <c r="G185"/>
    </row>
    <row r="186" spans="1:7" x14ac:dyDescent="0.35">
      <c r="A186" t="s">
        <v>2014</v>
      </c>
      <c r="B186">
        <v>18.4786</v>
      </c>
      <c r="C186">
        <v>18.803999999999998</v>
      </c>
      <c r="E186" s="2"/>
      <c r="G186"/>
    </row>
    <row r="187" spans="1:7" x14ac:dyDescent="0.35">
      <c r="A187" t="s">
        <v>2015</v>
      </c>
      <c r="B187">
        <v>12.771100000000001</v>
      </c>
      <c r="C187">
        <v>12.996</v>
      </c>
      <c r="E187" s="2"/>
      <c r="G187"/>
    </row>
    <row r="188" spans="1:7" x14ac:dyDescent="0.35">
      <c r="A188" t="s">
        <v>2016</v>
      </c>
      <c r="B188">
        <v>12.8649</v>
      </c>
      <c r="C188">
        <v>13.011200000000001</v>
      </c>
      <c r="E188" s="2"/>
      <c r="G188"/>
    </row>
    <row r="189" spans="1:7" x14ac:dyDescent="0.35">
      <c r="E189" s="2"/>
      <c r="G189"/>
    </row>
    <row r="190" spans="1:7" x14ac:dyDescent="0.35">
      <c r="A190" s="137" t="s">
        <v>2020</v>
      </c>
      <c r="B190" s="137"/>
      <c r="C190" s="137"/>
      <c r="D190" s="137"/>
    </row>
    <row r="191" spans="1:7" s="137" customFormat="1" x14ac:dyDescent="0.35">
      <c r="G191" s="2"/>
    </row>
    <row r="192" spans="1:7" s="137" customFormat="1" x14ac:dyDescent="0.35">
      <c r="A192" s="149" t="s">
        <v>2021</v>
      </c>
      <c r="B192" s="149" t="s">
        <v>2022</v>
      </c>
      <c r="C192" s="149" t="s">
        <v>2023</v>
      </c>
      <c r="D192" s="149" t="s">
        <v>2024</v>
      </c>
      <c r="G192" s="2"/>
    </row>
    <row r="193" spans="1:7" s="137" customFormat="1" x14ac:dyDescent="0.35">
      <c r="A193" s="149" t="s">
        <v>2142</v>
      </c>
      <c r="B193" s="149"/>
      <c r="C193" s="149">
        <v>0.08</v>
      </c>
      <c r="D193" s="149">
        <v>0.08</v>
      </c>
      <c r="G193" s="2"/>
    </row>
    <row r="194" spans="1:7" s="137" customFormat="1" x14ac:dyDescent="0.35">
      <c r="A194" s="149" t="s">
        <v>2045</v>
      </c>
      <c r="B194" s="149"/>
      <c r="C194" s="149">
        <v>0.08</v>
      </c>
      <c r="D194" s="149">
        <v>0.08</v>
      </c>
      <c r="G194" s="2"/>
    </row>
    <row r="195" spans="1:7" s="137" customFormat="1" x14ac:dyDescent="0.35">
      <c r="B195" s="34"/>
      <c r="G195" s="2"/>
    </row>
    <row r="196" spans="1:7" x14ac:dyDescent="0.35">
      <c r="A196" t="s">
        <v>2001</v>
      </c>
      <c r="B196" s="34" t="s">
        <v>96</v>
      </c>
    </row>
    <row r="197" spans="1:7" ht="29" x14ac:dyDescent="0.35">
      <c r="A197" s="47" t="s">
        <v>2002</v>
      </c>
      <c r="B197" s="34" t="s">
        <v>96</v>
      </c>
    </row>
    <row r="198" spans="1:7" ht="29" x14ac:dyDescent="0.35">
      <c r="A198" s="47" t="s">
        <v>2003</v>
      </c>
      <c r="B198" s="34" t="s">
        <v>96</v>
      </c>
    </row>
    <row r="199" spans="1:7" x14ac:dyDescent="0.35">
      <c r="A199" t="s">
        <v>2033</v>
      </c>
      <c r="B199" s="49">
        <v>5.1332560000000003</v>
      </c>
    </row>
    <row r="200" spans="1:7" ht="43.5" x14ac:dyDescent="0.35">
      <c r="A200" s="47" t="s">
        <v>2005</v>
      </c>
      <c r="B200" s="34">
        <v>259.47775000000001</v>
      </c>
    </row>
    <row r="201" spans="1:7" ht="29" x14ac:dyDescent="0.35">
      <c r="A201" s="47" t="s">
        <v>2006</v>
      </c>
      <c r="B201" s="34" t="s">
        <v>96</v>
      </c>
    </row>
    <row r="202" spans="1:7" ht="29" x14ac:dyDescent="0.35">
      <c r="A202" s="47" t="s">
        <v>2009</v>
      </c>
      <c r="B202" s="34" t="s">
        <v>96</v>
      </c>
    </row>
    <row r="203" spans="1:7" ht="29" x14ac:dyDescent="0.35">
      <c r="A203" s="47" t="s">
        <v>2135</v>
      </c>
      <c r="B203" s="34" t="s">
        <v>96</v>
      </c>
    </row>
    <row r="204" spans="1:7" ht="29" x14ac:dyDescent="0.35">
      <c r="A204" s="47" t="s">
        <v>2136</v>
      </c>
      <c r="B204" s="34" t="s">
        <v>96</v>
      </c>
    </row>
    <row r="206" spans="1:7" ht="29" x14ac:dyDescent="0.35">
      <c r="A206" s="302" t="s">
        <v>2154</v>
      </c>
      <c r="B206" s="303" t="s">
        <v>2155</v>
      </c>
      <c r="C206" s="303" t="s">
        <v>2156</v>
      </c>
      <c r="D206" s="307" t="s">
        <v>2157</v>
      </c>
    </row>
    <row r="207" spans="1:7" ht="73" customHeight="1" x14ac:dyDescent="0.35">
      <c r="A207" s="306" t="s">
        <v>2201</v>
      </c>
      <c r="B207" s="304"/>
      <c r="C207" s="304" t="s">
        <v>2202</v>
      </c>
      <c r="D207" s="305"/>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1EC0-5F98-4B46-A47A-0983FCC375FF}">
  <dimension ref="A1:H78"/>
  <sheetViews>
    <sheetView showGridLines="0" workbookViewId="0">
      <pane ySplit="4" topLeftCell="A78" activePane="bottomLeft" state="frozen"/>
      <selection activeCell="A2" sqref="A2:XFD2"/>
      <selection pane="bottomLeft" activeCell="A84" sqref="A84"/>
    </sheetView>
  </sheetViews>
  <sheetFormatPr defaultRowHeight="14.5" x14ac:dyDescent="0.35"/>
  <cols>
    <col min="1" max="1" width="50.453125" customWidth="1"/>
    <col min="2" max="2" width="22.453125" customWidth="1"/>
    <col min="3" max="3" width="26.6328125" customWidth="1"/>
    <col min="4" max="4" width="22.17968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61</v>
      </c>
      <c r="B1" s="151"/>
      <c r="C1" s="151"/>
      <c r="D1" s="151"/>
      <c r="E1" s="151"/>
      <c r="F1" s="151"/>
      <c r="G1" s="151"/>
      <c r="H1" s="50" t="str">
        <f>HYPERLINK("[EDEL_Portfolio Monthly Notes 31-Oct-2022.xlsx]Index!A1","Index")</f>
        <v>Index</v>
      </c>
    </row>
    <row r="2" spans="1:8" ht="31" customHeight="1" x14ac:dyDescent="0.35">
      <c r="A2" s="151" t="s">
        <v>62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428543</v>
      </c>
      <c r="E8" s="14">
        <v>3894.17</v>
      </c>
      <c r="F8" s="15">
        <v>8.4500000000000006E-2</v>
      </c>
      <c r="G8" s="15"/>
    </row>
    <row r="9" spans="1:8" x14ac:dyDescent="0.35">
      <c r="A9" s="12" t="s">
        <v>975</v>
      </c>
      <c r="B9" s="30" t="s">
        <v>976</v>
      </c>
      <c r="C9" s="30" t="s">
        <v>911</v>
      </c>
      <c r="D9" s="13">
        <v>190801</v>
      </c>
      <c r="E9" s="14">
        <v>2933.85</v>
      </c>
      <c r="F9" s="15">
        <v>6.3600000000000004E-2</v>
      </c>
      <c r="G9" s="15"/>
    </row>
    <row r="10" spans="1:8" x14ac:dyDescent="0.35">
      <c r="A10" s="12" t="s">
        <v>894</v>
      </c>
      <c r="B10" s="30" t="s">
        <v>895</v>
      </c>
      <c r="C10" s="30" t="s">
        <v>862</v>
      </c>
      <c r="D10" s="13">
        <v>174473</v>
      </c>
      <c r="E10" s="14">
        <v>2611.34</v>
      </c>
      <c r="F10" s="15">
        <v>5.6599999999999998E-2</v>
      </c>
      <c r="G10" s="15"/>
    </row>
    <row r="11" spans="1:8" x14ac:dyDescent="0.35">
      <c r="A11" s="12" t="s">
        <v>916</v>
      </c>
      <c r="B11" s="30" t="s">
        <v>917</v>
      </c>
      <c r="C11" s="30" t="s">
        <v>862</v>
      </c>
      <c r="D11" s="13">
        <v>267612</v>
      </c>
      <c r="E11" s="14">
        <v>2424.56</v>
      </c>
      <c r="F11" s="15">
        <v>5.2600000000000001E-2</v>
      </c>
      <c r="G11" s="15"/>
    </row>
    <row r="12" spans="1:8" x14ac:dyDescent="0.35">
      <c r="A12" s="12" t="s">
        <v>961</v>
      </c>
      <c r="B12" s="30" t="s">
        <v>962</v>
      </c>
      <c r="C12" s="30" t="s">
        <v>862</v>
      </c>
      <c r="D12" s="13">
        <v>381963</v>
      </c>
      <c r="E12" s="14">
        <v>2191.6999999999998</v>
      </c>
      <c r="F12" s="15">
        <v>4.7500000000000001E-2</v>
      </c>
      <c r="G12" s="15"/>
    </row>
    <row r="13" spans="1:8" x14ac:dyDescent="0.35">
      <c r="A13" s="12" t="s">
        <v>863</v>
      </c>
      <c r="B13" s="30" t="s">
        <v>864</v>
      </c>
      <c r="C13" s="30" t="s">
        <v>865</v>
      </c>
      <c r="D13" s="13">
        <v>82192</v>
      </c>
      <c r="E13" s="14">
        <v>2095.5700000000002</v>
      </c>
      <c r="F13" s="15">
        <v>4.5499999999999999E-2</v>
      </c>
      <c r="G13" s="15"/>
    </row>
    <row r="14" spans="1:8" x14ac:dyDescent="0.35">
      <c r="A14" s="12" t="s">
        <v>1020</v>
      </c>
      <c r="B14" s="30" t="s">
        <v>1021</v>
      </c>
      <c r="C14" s="30" t="s">
        <v>1022</v>
      </c>
      <c r="D14" s="13">
        <v>97256</v>
      </c>
      <c r="E14" s="14">
        <v>1967.59</v>
      </c>
      <c r="F14" s="15">
        <v>4.2700000000000002E-2</v>
      </c>
      <c r="G14" s="15"/>
    </row>
    <row r="15" spans="1:8" x14ac:dyDescent="0.35">
      <c r="A15" s="12" t="s">
        <v>959</v>
      </c>
      <c r="B15" s="30" t="s">
        <v>960</v>
      </c>
      <c r="C15" s="30" t="s">
        <v>885</v>
      </c>
      <c r="D15" s="13">
        <v>24769</v>
      </c>
      <c r="E15" s="14">
        <v>1769.52</v>
      </c>
      <c r="F15" s="15">
        <v>3.8399999999999997E-2</v>
      </c>
      <c r="G15" s="15"/>
    </row>
    <row r="16" spans="1:8" x14ac:dyDescent="0.35">
      <c r="A16" s="12" t="s">
        <v>1042</v>
      </c>
      <c r="B16" s="30" t="s">
        <v>1043</v>
      </c>
      <c r="C16" s="30" t="s">
        <v>943</v>
      </c>
      <c r="D16" s="13">
        <v>150397</v>
      </c>
      <c r="E16" s="14">
        <v>1529.39</v>
      </c>
      <c r="F16" s="15">
        <v>3.32E-2</v>
      </c>
      <c r="G16" s="15"/>
    </row>
    <row r="17" spans="1:7" x14ac:dyDescent="0.35">
      <c r="A17" s="12" t="s">
        <v>1440</v>
      </c>
      <c r="B17" s="30" t="s">
        <v>1456</v>
      </c>
      <c r="C17" s="30" t="s">
        <v>988</v>
      </c>
      <c r="D17" s="13">
        <v>179840</v>
      </c>
      <c r="E17" s="14">
        <v>1496.27</v>
      </c>
      <c r="F17" s="15">
        <v>3.2500000000000001E-2</v>
      </c>
      <c r="G17" s="15"/>
    </row>
    <row r="18" spans="1:7" x14ac:dyDescent="0.35">
      <c r="A18" s="12" t="s">
        <v>923</v>
      </c>
      <c r="B18" s="30" t="s">
        <v>924</v>
      </c>
      <c r="C18" s="30" t="s">
        <v>877</v>
      </c>
      <c r="D18" s="13">
        <v>1369933</v>
      </c>
      <c r="E18" s="14">
        <v>1463.77</v>
      </c>
      <c r="F18" s="15">
        <v>3.1699999999999999E-2</v>
      </c>
      <c r="G18" s="15"/>
    </row>
    <row r="19" spans="1:7" x14ac:dyDescent="0.35">
      <c r="A19" s="12" t="s">
        <v>938</v>
      </c>
      <c r="B19" s="30" t="s">
        <v>939</v>
      </c>
      <c r="C19" s="30" t="s">
        <v>940</v>
      </c>
      <c r="D19" s="13">
        <v>107077</v>
      </c>
      <c r="E19" s="14">
        <v>1443.29</v>
      </c>
      <c r="F19" s="15">
        <v>3.1300000000000001E-2</v>
      </c>
      <c r="G19" s="15"/>
    </row>
    <row r="20" spans="1:7" x14ac:dyDescent="0.35">
      <c r="A20" s="12" t="s">
        <v>1091</v>
      </c>
      <c r="B20" s="30" t="s">
        <v>1092</v>
      </c>
      <c r="C20" s="30" t="s">
        <v>934</v>
      </c>
      <c r="D20" s="13">
        <v>45944</v>
      </c>
      <c r="E20" s="14">
        <v>1401.18</v>
      </c>
      <c r="F20" s="15">
        <v>3.04E-2</v>
      </c>
      <c r="G20" s="15"/>
    </row>
    <row r="21" spans="1:7" x14ac:dyDescent="0.35">
      <c r="A21" s="12" t="s">
        <v>1137</v>
      </c>
      <c r="B21" s="30" t="s">
        <v>1138</v>
      </c>
      <c r="C21" s="30" t="s">
        <v>898</v>
      </c>
      <c r="D21" s="13">
        <v>322781</v>
      </c>
      <c r="E21" s="14">
        <v>1332.28</v>
      </c>
      <c r="F21" s="15">
        <v>2.8899999999999999E-2</v>
      </c>
      <c r="G21" s="15"/>
    </row>
    <row r="22" spans="1:7" x14ac:dyDescent="0.35">
      <c r="A22" s="12" t="s">
        <v>1077</v>
      </c>
      <c r="B22" s="30" t="s">
        <v>1078</v>
      </c>
      <c r="C22" s="30" t="s">
        <v>862</v>
      </c>
      <c r="D22" s="13">
        <v>997318</v>
      </c>
      <c r="E22" s="14">
        <v>1311.47</v>
      </c>
      <c r="F22" s="15">
        <v>2.8400000000000002E-2</v>
      </c>
      <c r="G22" s="15"/>
    </row>
    <row r="23" spans="1:7" x14ac:dyDescent="0.35">
      <c r="A23" s="12" t="s">
        <v>896</v>
      </c>
      <c r="B23" s="30" t="s">
        <v>897</v>
      </c>
      <c r="C23" s="30" t="s">
        <v>898</v>
      </c>
      <c r="D23" s="13">
        <v>13587</v>
      </c>
      <c r="E23" s="14">
        <v>1294.52</v>
      </c>
      <c r="F23" s="15">
        <v>2.81E-2</v>
      </c>
      <c r="G23" s="15"/>
    </row>
    <row r="24" spans="1:7" x14ac:dyDescent="0.35">
      <c r="A24" s="12" t="s">
        <v>948</v>
      </c>
      <c r="B24" s="30" t="s">
        <v>949</v>
      </c>
      <c r="C24" s="30" t="s">
        <v>950</v>
      </c>
      <c r="D24" s="13">
        <v>363411</v>
      </c>
      <c r="E24" s="14">
        <v>1267.21</v>
      </c>
      <c r="F24" s="15">
        <v>2.75E-2</v>
      </c>
      <c r="G24" s="15"/>
    </row>
    <row r="25" spans="1:7" x14ac:dyDescent="0.35">
      <c r="A25" s="12" t="s">
        <v>1106</v>
      </c>
      <c r="B25" s="30" t="s">
        <v>1107</v>
      </c>
      <c r="C25" s="30" t="s">
        <v>983</v>
      </c>
      <c r="D25" s="13">
        <v>99966</v>
      </c>
      <c r="E25" s="14">
        <v>1265.52</v>
      </c>
      <c r="F25" s="15">
        <v>2.7400000000000001E-2</v>
      </c>
      <c r="G25" s="15"/>
    </row>
    <row r="26" spans="1:7" x14ac:dyDescent="0.35">
      <c r="A26" s="12" t="s">
        <v>1046</v>
      </c>
      <c r="B26" s="30" t="s">
        <v>1047</v>
      </c>
      <c r="C26" s="30" t="s">
        <v>1048</v>
      </c>
      <c r="D26" s="13">
        <v>77288</v>
      </c>
      <c r="E26" s="14">
        <v>1180.8800000000001</v>
      </c>
      <c r="F26" s="15">
        <v>2.5600000000000001E-2</v>
      </c>
      <c r="G26" s="15"/>
    </row>
    <row r="27" spans="1:7" x14ac:dyDescent="0.35">
      <c r="A27" s="12" t="s">
        <v>1143</v>
      </c>
      <c r="B27" s="30" t="s">
        <v>1144</v>
      </c>
      <c r="C27" s="30" t="s">
        <v>950</v>
      </c>
      <c r="D27" s="13">
        <v>40056</v>
      </c>
      <c r="E27" s="14">
        <v>1021.71</v>
      </c>
      <c r="F27" s="15">
        <v>2.2200000000000001E-2</v>
      </c>
      <c r="G27" s="15"/>
    </row>
    <row r="28" spans="1:7" x14ac:dyDescent="0.35">
      <c r="A28" s="12" t="s">
        <v>1180</v>
      </c>
      <c r="B28" s="30" t="s">
        <v>1181</v>
      </c>
      <c r="C28" s="30" t="s">
        <v>958</v>
      </c>
      <c r="D28" s="13">
        <v>274653</v>
      </c>
      <c r="E28" s="14">
        <v>995.07</v>
      </c>
      <c r="F28" s="15">
        <v>2.1600000000000001E-2</v>
      </c>
      <c r="G28" s="15"/>
    </row>
    <row r="29" spans="1:7" x14ac:dyDescent="0.35">
      <c r="A29" s="12" t="s">
        <v>989</v>
      </c>
      <c r="B29" s="30" t="s">
        <v>990</v>
      </c>
      <c r="C29" s="30" t="s">
        <v>885</v>
      </c>
      <c r="D29" s="13">
        <v>136009</v>
      </c>
      <c r="E29" s="14">
        <v>964.78</v>
      </c>
      <c r="F29" s="15">
        <v>2.0899999999999998E-2</v>
      </c>
      <c r="G29" s="15"/>
    </row>
    <row r="30" spans="1:7" x14ac:dyDescent="0.35">
      <c r="A30" s="12" t="s">
        <v>1016</v>
      </c>
      <c r="B30" s="30" t="s">
        <v>1017</v>
      </c>
      <c r="C30" s="30" t="s">
        <v>958</v>
      </c>
      <c r="D30" s="13">
        <v>32836</v>
      </c>
      <c r="E30" s="14">
        <v>906.77</v>
      </c>
      <c r="F30" s="15">
        <v>1.9699999999999999E-2</v>
      </c>
      <c r="G30" s="15"/>
    </row>
    <row r="31" spans="1:7" x14ac:dyDescent="0.35">
      <c r="A31" s="12" t="s">
        <v>1423</v>
      </c>
      <c r="B31" s="30" t="s">
        <v>1424</v>
      </c>
      <c r="C31" s="30" t="s">
        <v>958</v>
      </c>
      <c r="D31" s="13">
        <v>83540</v>
      </c>
      <c r="E31" s="14">
        <v>903.28</v>
      </c>
      <c r="F31" s="15">
        <v>1.9599999999999999E-2</v>
      </c>
      <c r="G31" s="15"/>
    </row>
    <row r="32" spans="1:7" x14ac:dyDescent="0.35">
      <c r="A32" s="12" t="s">
        <v>1087</v>
      </c>
      <c r="B32" s="30" t="s">
        <v>1088</v>
      </c>
      <c r="C32" s="30" t="s">
        <v>931</v>
      </c>
      <c r="D32" s="13">
        <v>18771</v>
      </c>
      <c r="E32" s="14">
        <v>854.41</v>
      </c>
      <c r="F32" s="15">
        <v>1.8499999999999999E-2</v>
      </c>
      <c r="G32" s="15"/>
    </row>
    <row r="33" spans="1:7" x14ac:dyDescent="0.35">
      <c r="A33" s="12" t="s">
        <v>1040</v>
      </c>
      <c r="B33" s="30" t="s">
        <v>1041</v>
      </c>
      <c r="C33" s="30" t="s">
        <v>908</v>
      </c>
      <c r="D33" s="13">
        <v>12540</v>
      </c>
      <c r="E33" s="14">
        <v>842.05</v>
      </c>
      <c r="F33" s="15">
        <v>1.83E-2</v>
      </c>
      <c r="G33" s="15"/>
    </row>
    <row r="34" spans="1:7" x14ac:dyDescent="0.35">
      <c r="A34" s="12" t="s">
        <v>1421</v>
      </c>
      <c r="B34" s="30" t="s">
        <v>1422</v>
      </c>
      <c r="C34" s="30" t="s">
        <v>1015</v>
      </c>
      <c r="D34" s="13">
        <v>163001</v>
      </c>
      <c r="E34" s="14">
        <v>814.27</v>
      </c>
      <c r="F34" s="15">
        <v>1.77E-2</v>
      </c>
      <c r="G34" s="15"/>
    </row>
    <row r="35" spans="1:7" x14ac:dyDescent="0.35">
      <c r="A35" s="12" t="s">
        <v>918</v>
      </c>
      <c r="B35" s="30" t="s">
        <v>919</v>
      </c>
      <c r="C35" s="30" t="s">
        <v>911</v>
      </c>
      <c r="D35" s="13">
        <v>25227</v>
      </c>
      <c r="E35" s="14">
        <v>805.54</v>
      </c>
      <c r="F35" s="15">
        <v>1.7500000000000002E-2</v>
      </c>
      <c r="G35" s="15"/>
    </row>
    <row r="36" spans="1:7" x14ac:dyDescent="0.35">
      <c r="A36" s="12" t="s">
        <v>1425</v>
      </c>
      <c r="B36" s="30" t="s">
        <v>1426</v>
      </c>
      <c r="C36" s="30" t="s">
        <v>974</v>
      </c>
      <c r="D36" s="13">
        <v>91661</v>
      </c>
      <c r="E36" s="14">
        <v>685.44</v>
      </c>
      <c r="F36" s="15">
        <v>1.49E-2</v>
      </c>
      <c r="G36" s="15"/>
    </row>
    <row r="37" spans="1:7" x14ac:dyDescent="0.35">
      <c r="A37" s="12" t="s">
        <v>1038</v>
      </c>
      <c r="B37" s="30" t="s">
        <v>1039</v>
      </c>
      <c r="C37" s="30" t="s">
        <v>1015</v>
      </c>
      <c r="D37" s="13">
        <v>56538</v>
      </c>
      <c r="E37" s="14">
        <v>522.78</v>
      </c>
      <c r="F37" s="15">
        <v>1.1299999999999999E-2</v>
      </c>
      <c r="G37" s="15"/>
    </row>
    <row r="38" spans="1:7" x14ac:dyDescent="0.35">
      <c r="A38" s="16" t="s">
        <v>102</v>
      </c>
      <c r="B38" s="31"/>
      <c r="C38" s="31"/>
      <c r="D38" s="17"/>
      <c r="E38" s="37">
        <v>44190.18</v>
      </c>
      <c r="F38" s="38">
        <v>0.95860000000000001</v>
      </c>
      <c r="G38" s="20"/>
    </row>
    <row r="39" spans="1:7" x14ac:dyDescent="0.35">
      <c r="A39" s="16" t="s">
        <v>1206</v>
      </c>
      <c r="B39" s="30"/>
      <c r="C39" s="30"/>
      <c r="D39" s="13"/>
      <c r="E39" s="14"/>
      <c r="F39" s="15"/>
      <c r="G39" s="15"/>
    </row>
    <row r="40" spans="1:7" x14ac:dyDescent="0.35">
      <c r="A40" s="16" t="s">
        <v>102</v>
      </c>
      <c r="B40" s="30"/>
      <c r="C40" s="30"/>
      <c r="D40" s="13"/>
      <c r="E40" s="39" t="s">
        <v>96</v>
      </c>
      <c r="F40" s="40" t="s">
        <v>96</v>
      </c>
      <c r="G40" s="15"/>
    </row>
    <row r="41" spans="1:7" x14ac:dyDescent="0.35">
      <c r="A41" s="21" t="s">
        <v>129</v>
      </c>
      <c r="B41" s="32"/>
      <c r="C41" s="32"/>
      <c r="D41" s="22"/>
      <c r="E41" s="27">
        <v>44190.18</v>
      </c>
      <c r="F41" s="28">
        <v>0.95860000000000001</v>
      </c>
      <c r="G41" s="20"/>
    </row>
    <row r="42" spans="1:7" x14ac:dyDescent="0.35">
      <c r="A42" s="12"/>
      <c r="B42" s="30"/>
      <c r="C42" s="30"/>
      <c r="D42" s="13"/>
      <c r="E42" s="14"/>
      <c r="F42" s="15"/>
      <c r="G42" s="15"/>
    </row>
    <row r="43" spans="1:7" x14ac:dyDescent="0.35">
      <c r="A43" s="12"/>
      <c r="B43" s="30"/>
      <c r="C43" s="30"/>
      <c r="D43" s="13"/>
      <c r="E43" s="14"/>
      <c r="F43" s="15"/>
      <c r="G43" s="15"/>
    </row>
    <row r="44" spans="1:7" x14ac:dyDescent="0.35">
      <c r="A44" s="16" t="s">
        <v>130</v>
      </c>
      <c r="B44" s="30"/>
      <c r="C44" s="30"/>
      <c r="D44" s="13"/>
      <c r="E44" s="14"/>
      <c r="F44" s="15"/>
      <c r="G44" s="15"/>
    </row>
    <row r="45" spans="1:7" x14ac:dyDescent="0.35">
      <c r="A45" s="12" t="s">
        <v>131</v>
      </c>
      <c r="B45" s="30"/>
      <c r="C45" s="30"/>
      <c r="D45" s="13"/>
      <c r="E45" s="14">
        <v>2253.62</v>
      </c>
      <c r="F45" s="15">
        <v>4.8899999999999999E-2</v>
      </c>
      <c r="G45" s="105">
        <v>6.1074000000000003E-2</v>
      </c>
    </row>
    <row r="46" spans="1:7" x14ac:dyDescent="0.35">
      <c r="A46" s="16" t="s">
        <v>102</v>
      </c>
      <c r="B46" s="31"/>
      <c r="C46" s="31"/>
      <c r="D46" s="17"/>
      <c r="E46" s="37">
        <v>2253.62</v>
      </c>
      <c r="F46" s="38">
        <v>4.8899999999999999E-2</v>
      </c>
      <c r="G46" s="106"/>
    </row>
    <row r="47" spans="1:7" x14ac:dyDescent="0.35">
      <c r="A47" s="12"/>
      <c r="B47" s="30"/>
      <c r="C47" s="30"/>
      <c r="D47" s="13"/>
      <c r="E47" s="14"/>
      <c r="F47" s="15"/>
      <c r="G47" s="105"/>
    </row>
    <row r="48" spans="1:7" x14ac:dyDescent="0.35">
      <c r="A48" s="21" t="s">
        <v>129</v>
      </c>
      <c r="B48" s="32"/>
      <c r="C48" s="32"/>
      <c r="D48" s="22"/>
      <c r="E48" s="18">
        <v>2253.62</v>
      </c>
      <c r="F48" s="19">
        <v>4.8899999999999999E-2</v>
      </c>
      <c r="G48" s="106"/>
    </row>
    <row r="49" spans="1:7" x14ac:dyDescent="0.35">
      <c r="A49" s="12" t="s">
        <v>132</v>
      </c>
      <c r="B49" s="30"/>
      <c r="C49" s="30"/>
      <c r="D49" s="13"/>
      <c r="E49" s="14">
        <v>0.37708979999999998</v>
      </c>
      <c r="F49" s="15">
        <v>7.9999999999999996E-6</v>
      </c>
      <c r="G49" s="105"/>
    </row>
    <row r="50" spans="1:7" x14ac:dyDescent="0.35">
      <c r="A50" s="12" t="s">
        <v>133</v>
      </c>
      <c r="B50" s="30"/>
      <c r="C50" s="30"/>
      <c r="D50" s="13"/>
      <c r="E50" s="23">
        <v>-340.59708979999999</v>
      </c>
      <c r="F50" s="24">
        <v>-7.5079999999999999E-3</v>
      </c>
      <c r="G50" s="105">
        <v>6.1074000000000003E-2</v>
      </c>
    </row>
    <row r="51" spans="1:7" x14ac:dyDescent="0.35">
      <c r="A51" s="25" t="s">
        <v>134</v>
      </c>
      <c r="B51" s="33"/>
      <c r="C51" s="33"/>
      <c r="D51" s="26"/>
      <c r="E51" s="27">
        <v>46103.58</v>
      </c>
      <c r="F51" s="28">
        <v>1</v>
      </c>
      <c r="G51" s="28"/>
    </row>
    <row r="56" spans="1:7" x14ac:dyDescent="0.35">
      <c r="A56" s="1" t="s">
        <v>1981</v>
      </c>
    </row>
    <row r="57" spans="1:7" x14ac:dyDescent="0.35">
      <c r="A57" s="47" t="s">
        <v>1982</v>
      </c>
      <c r="B57" s="34" t="s">
        <v>96</v>
      </c>
    </row>
    <row r="58" spans="1:7" x14ac:dyDescent="0.35">
      <c r="A58" t="s">
        <v>1983</v>
      </c>
    </row>
    <row r="59" spans="1:7" x14ac:dyDescent="0.35">
      <c r="A59" t="s">
        <v>1984</v>
      </c>
      <c r="B59" t="s">
        <v>1985</v>
      </c>
      <c r="C59" t="s">
        <v>1985</v>
      </c>
    </row>
    <row r="60" spans="1:7" x14ac:dyDescent="0.35">
      <c r="B60" s="48">
        <v>44834</v>
      </c>
      <c r="C60" s="48">
        <v>44865</v>
      </c>
    </row>
    <row r="61" spans="1:7" x14ac:dyDescent="0.35">
      <c r="A61" t="s">
        <v>2018</v>
      </c>
      <c r="B61">
        <v>10.063000000000001</v>
      </c>
      <c r="C61">
        <v>10.548</v>
      </c>
      <c r="E61" s="2"/>
      <c r="G61"/>
    </row>
    <row r="62" spans="1:7" x14ac:dyDescent="0.35">
      <c r="A62" t="s">
        <v>1990</v>
      </c>
      <c r="B62">
        <v>10.063000000000001</v>
      </c>
      <c r="C62">
        <v>10.548</v>
      </c>
      <c r="E62" s="2"/>
      <c r="G62"/>
    </row>
    <row r="63" spans="1:7" x14ac:dyDescent="0.35">
      <c r="A63" t="s">
        <v>2019</v>
      </c>
      <c r="B63">
        <v>10.035</v>
      </c>
      <c r="C63">
        <v>10.502000000000001</v>
      </c>
      <c r="E63" s="2"/>
      <c r="G63"/>
    </row>
    <row r="64" spans="1:7" x14ac:dyDescent="0.35">
      <c r="A64" t="s">
        <v>2015</v>
      </c>
      <c r="B64">
        <v>10.034000000000001</v>
      </c>
      <c r="C64">
        <v>10.502000000000001</v>
      </c>
      <c r="E64" s="2"/>
      <c r="G64"/>
    </row>
    <row r="65" spans="1:7" x14ac:dyDescent="0.35">
      <c r="E65" s="2"/>
      <c r="G65"/>
    </row>
    <row r="66" spans="1:7" x14ac:dyDescent="0.35">
      <c r="A66" t="s">
        <v>2000</v>
      </c>
      <c r="B66" s="34" t="s">
        <v>96</v>
      </c>
    </row>
    <row r="67" spans="1:7" x14ac:dyDescent="0.35">
      <c r="A67" t="s">
        <v>2001</v>
      </c>
      <c r="B67" s="34" t="s">
        <v>96</v>
      </c>
    </row>
    <row r="68" spans="1:7" ht="29" x14ac:dyDescent="0.35">
      <c r="A68" s="47" t="s">
        <v>2002</v>
      </c>
      <c r="B68" s="34" t="s">
        <v>96</v>
      </c>
    </row>
    <row r="69" spans="1:7" ht="29" x14ac:dyDescent="0.35">
      <c r="A69" s="47" t="s">
        <v>2003</v>
      </c>
      <c r="B69" s="34" t="s">
        <v>96</v>
      </c>
    </row>
    <row r="70" spans="1:7" x14ac:dyDescent="0.35">
      <c r="A70" t="s">
        <v>2033</v>
      </c>
      <c r="B70" s="49">
        <v>0.47230699999999998</v>
      </c>
    </row>
    <row r="71" spans="1:7" ht="43.5" x14ac:dyDescent="0.35">
      <c r="A71" s="47" t="s">
        <v>2005</v>
      </c>
      <c r="B71" s="34" t="s">
        <v>96</v>
      </c>
    </row>
    <row r="72" spans="1:7" ht="29" x14ac:dyDescent="0.35">
      <c r="A72" s="47" t="s">
        <v>2006</v>
      </c>
      <c r="B72" s="34" t="s">
        <v>96</v>
      </c>
    </row>
    <row r="73" spans="1:7" ht="29" x14ac:dyDescent="0.35">
      <c r="A73" s="47" t="s">
        <v>2009</v>
      </c>
      <c r="B73" s="34" t="s">
        <v>96</v>
      </c>
    </row>
    <row r="74" spans="1:7" ht="29" x14ac:dyDescent="0.35">
      <c r="A74" s="47" t="s">
        <v>2135</v>
      </c>
      <c r="B74" s="34" t="s">
        <v>96</v>
      </c>
    </row>
    <row r="75" spans="1:7" ht="29" x14ac:dyDescent="0.35">
      <c r="A75" s="47" t="s">
        <v>2136</v>
      </c>
      <c r="B75" s="34" t="s">
        <v>96</v>
      </c>
    </row>
    <row r="77" spans="1:7" ht="29" x14ac:dyDescent="0.35">
      <c r="A77" s="308" t="s">
        <v>2154</v>
      </c>
      <c r="B77" s="309" t="s">
        <v>2155</v>
      </c>
      <c r="C77" s="309" t="s">
        <v>2156</v>
      </c>
      <c r="D77" s="313" t="s">
        <v>2157</v>
      </c>
    </row>
    <row r="78" spans="1:7" ht="71.5" customHeight="1" x14ac:dyDescent="0.35">
      <c r="A78" s="312" t="s">
        <v>2203</v>
      </c>
      <c r="B78" s="311"/>
      <c r="C78" s="310" t="s">
        <v>2204</v>
      </c>
      <c r="D78" s="311"/>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958B-35A4-43DC-B52A-E777F9381A5C}">
  <dimension ref="A1:H78"/>
  <sheetViews>
    <sheetView showGridLines="0" workbookViewId="0">
      <pane ySplit="4" topLeftCell="A77" activePane="bottomLeft" state="frozen"/>
      <selection activeCell="A2" sqref="A2:XFD2"/>
      <selection pane="bottomLeft" activeCell="C78" sqref="C78"/>
    </sheetView>
  </sheetViews>
  <sheetFormatPr defaultRowHeight="14.5" x14ac:dyDescent="0.35"/>
  <cols>
    <col min="1" max="1" width="50.453125" customWidth="1"/>
    <col min="2" max="2" width="21.54296875" customWidth="1"/>
    <col min="3" max="3" width="26.6328125" customWidth="1"/>
    <col min="4" max="4" width="21.7265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63</v>
      </c>
      <c r="B1" s="151"/>
      <c r="C1" s="151"/>
      <c r="D1" s="151"/>
      <c r="E1" s="151"/>
      <c r="F1" s="151"/>
      <c r="G1" s="151"/>
      <c r="H1" s="50" t="str">
        <f>HYPERLINK("[EDEL_Portfolio Monthly Notes 31-Oct-2022.xlsx]Index!A1","Index")</f>
        <v>Index</v>
      </c>
    </row>
    <row r="2" spans="1:8" ht="31" customHeight="1" x14ac:dyDescent="0.35">
      <c r="A2" s="151" t="s">
        <v>64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975</v>
      </c>
      <c r="B8" s="30" t="s">
        <v>976</v>
      </c>
      <c r="C8" s="30" t="s">
        <v>911</v>
      </c>
      <c r="D8" s="13">
        <v>4168</v>
      </c>
      <c r="E8" s="14">
        <v>64.09</v>
      </c>
      <c r="F8" s="15">
        <v>5.3499999999999999E-2</v>
      </c>
      <c r="G8" s="15"/>
    </row>
    <row r="9" spans="1:8" x14ac:dyDescent="0.35">
      <c r="A9" s="12" t="s">
        <v>1023</v>
      </c>
      <c r="B9" s="30" t="s">
        <v>1024</v>
      </c>
      <c r="C9" s="30" t="s">
        <v>1025</v>
      </c>
      <c r="D9" s="13">
        <v>311</v>
      </c>
      <c r="E9" s="14">
        <v>63.33</v>
      </c>
      <c r="F9" s="15">
        <v>5.28E-2</v>
      </c>
      <c r="G9" s="15"/>
    </row>
    <row r="10" spans="1:8" x14ac:dyDescent="0.35">
      <c r="A10" s="12" t="s">
        <v>894</v>
      </c>
      <c r="B10" s="30" t="s">
        <v>895</v>
      </c>
      <c r="C10" s="30" t="s">
        <v>862</v>
      </c>
      <c r="D10" s="13">
        <v>4108</v>
      </c>
      <c r="E10" s="14">
        <v>61.48</v>
      </c>
      <c r="F10" s="15">
        <v>5.1299999999999998E-2</v>
      </c>
      <c r="G10" s="15"/>
    </row>
    <row r="11" spans="1:8" x14ac:dyDescent="0.35">
      <c r="A11" s="12" t="s">
        <v>918</v>
      </c>
      <c r="B11" s="30" t="s">
        <v>919</v>
      </c>
      <c r="C11" s="30" t="s">
        <v>911</v>
      </c>
      <c r="D11" s="13">
        <v>1925</v>
      </c>
      <c r="E11" s="14">
        <v>61.47</v>
      </c>
      <c r="F11" s="15">
        <v>5.1299999999999998E-2</v>
      </c>
      <c r="G11" s="15"/>
    </row>
    <row r="12" spans="1:8" x14ac:dyDescent="0.35">
      <c r="A12" s="12" t="s">
        <v>948</v>
      </c>
      <c r="B12" s="30" t="s">
        <v>949</v>
      </c>
      <c r="C12" s="30" t="s">
        <v>950</v>
      </c>
      <c r="D12" s="13">
        <v>17345</v>
      </c>
      <c r="E12" s="14">
        <v>60.48</v>
      </c>
      <c r="F12" s="15">
        <v>5.0500000000000003E-2</v>
      </c>
      <c r="G12" s="15"/>
    </row>
    <row r="13" spans="1:8" x14ac:dyDescent="0.35">
      <c r="A13" s="12" t="s">
        <v>909</v>
      </c>
      <c r="B13" s="30" t="s">
        <v>910</v>
      </c>
      <c r="C13" s="30" t="s">
        <v>911</v>
      </c>
      <c r="D13" s="13">
        <v>5705</v>
      </c>
      <c r="E13" s="14">
        <v>59.4</v>
      </c>
      <c r="F13" s="15">
        <v>4.9599999999999998E-2</v>
      </c>
      <c r="G13" s="15"/>
    </row>
    <row r="14" spans="1:8" x14ac:dyDescent="0.35">
      <c r="A14" s="12" t="s">
        <v>1143</v>
      </c>
      <c r="B14" s="30" t="s">
        <v>1144</v>
      </c>
      <c r="C14" s="30" t="s">
        <v>950</v>
      </c>
      <c r="D14" s="13">
        <v>2168</v>
      </c>
      <c r="E14" s="14">
        <v>55.3</v>
      </c>
      <c r="F14" s="15">
        <v>4.6100000000000002E-2</v>
      </c>
      <c r="G14" s="15"/>
    </row>
    <row r="15" spans="1:8" x14ac:dyDescent="0.35">
      <c r="A15" s="12" t="s">
        <v>1116</v>
      </c>
      <c r="B15" s="30" t="s">
        <v>1117</v>
      </c>
      <c r="C15" s="30" t="s">
        <v>958</v>
      </c>
      <c r="D15" s="13">
        <v>1673</v>
      </c>
      <c r="E15" s="14">
        <v>51.99</v>
      </c>
      <c r="F15" s="15">
        <v>4.3400000000000001E-2</v>
      </c>
      <c r="G15" s="15"/>
    </row>
    <row r="16" spans="1:8" x14ac:dyDescent="0.35">
      <c r="A16" s="12" t="s">
        <v>896</v>
      </c>
      <c r="B16" s="30" t="s">
        <v>897</v>
      </c>
      <c r="C16" s="30" t="s">
        <v>898</v>
      </c>
      <c r="D16" s="13">
        <v>507</v>
      </c>
      <c r="E16" s="14">
        <v>48.3</v>
      </c>
      <c r="F16" s="15">
        <v>4.0300000000000002E-2</v>
      </c>
      <c r="G16" s="15"/>
    </row>
    <row r="17" spans="1:7" x14ac:dyDescent="0.35">
      <c r="A17" s="12" t="s">
        <v>1126</v>
      </c>
      <c r="B17" s="30" t="s">
        <v>1127</v>
      </c>
      <c r="C17" s="30" t="s">
        <v>1128</v>
      </c>
      <c r="D17" s="13">
        <v>18219</v>
      </c>
      <c r="E17" s="14">
        <v>44.81</v>
      </c>
      <c r="F17" s="15">
        <v>3.7400000000000003E-2</v>
      </c>
      <c r="G17" s="15"/>
    </row>
    <row r="18" spans="1:7" x14ac:dyDescent="0.35">
      <c r="A18" s="12" t="s">
        <v>959</v>
      </c>
      <c r="B18" s="30" t="s">
        <v>960</v>
      </c>
      <c r="C18" s="30" t="s">
        <v>885</v>
      </c>
      <c r="D18" s="13">
        <v>625</v>
      </c>
      <c r="E18" s="14">
        <v>44.65</v>
      </c>
      <c r="F18" s="15">
        <v>3.7199999999999997E-2</v>
      </c>
      <c r="G18" s="15"/>
    </row>
    <row r="19" spans="1:7" x14ac:dyDescent="0.35">
      <c r="A19" s="12" t="s">
        <v>1507</v>
      </c>
      <c r="B19" s="30" t="s">
        <v>1508</v>
      </c>
      <c r="C19" s="30" t="s">
        <v>1025</v>
      </c>
      <c r="D19" s="13">
        <v>1074</v>
      </c>
      <c r="E19" s="14">
        <v>40.450000000000003</v>
      </c>
      <c r="F19" s="15">
        <v>3.3700000000000001E-2</v>
      </c>
      <c r="G19" s="15"/>
    </row>
    <row r="20" spans="1:7" x14ac:dyDescent="0.35">
      <c r="A20" s="12" t="s">
        <v>925</v>
      </c>
      <c r="B20" s="30" t="s">
        <v>926</v>
      </c>
      <c r="C20" s="30" t="s">
        <v>911</v>
      </c>
      <c r="D20" s="13">
        <v>3718</v>
      </c>
      <c r="E20" s="14">
        <v>39.54</v>
      </c>
      <c r="F20" s="15">
        <v>3.3000000000000002E-2</v>
      </c>
      <c r="G20" s="15"/>
    </row>
    <row r="21" spans="1:7" x14ac:dyDescent="0.35">
      <c r="A21" s="12" t="s">
        <v>1668</v>
      </c>
      <c r="B21" s="30" t="s">
        <v>1669</v>
      </c>
      <c r="C21" s="30" t="s">
        <v>911</v>
      </c>
      <c r="D21" s="13">
        <v>9697</v>
      </c>
      <c r="E21" s="14">
        <v>37.479999999999997</v>
      </c>
      <c r="F21" s="15">
        <v>3.1300000000000001E-2</v>
      </c>
      <c r="G21" s="15"/>
    </row>
    <row r="22" spans="1:7" x14ac:dyDescent="0.35">
      <c r="A22" s="12" t="s">
        <v>1202</v>
      </c>
      <c r="B22" s="30" t="s">
        <v>1203</v>
      </c>
      <c r="C22" s="30" t="s">
        <v>1010</v>
      </c>
      <c r="D22" s="13">
        <v>2294</v>
      </c>
      <c r="E22" s="14">
        <v>37.43</v>
      </c>
      <c r="F22" s="15">
        <v>3.1199999999999999E-2</v>
      </c>
      <c r="G22" s="15"/>
    </row>
    <row r="23" spans="1:7" x14ac:dyDescent="0.35">
      <c r="A23" s="12" t="s">
        <v>1670</v>
      </c>
      <c r="B23" s="30" t="s">
        <v>1671</v>
      </c>
      <c r="C23" s="30" t="s">
        <v>898</v>
      </c>
      <c r="D23" s="13">
        <v>1007</v>
      </c>
      <c r="E23" s="14">
        <v>36.979999999999997</v>
      </c>
      <c r="F23" s="15">
        <v>3.0800000000000001E-2</v>
      </c>
      <c r="G23" s="15"/>
    </row>
    <row r="24" spans="1:7" x14ac:dyDescent="0.35">
      <c r="A24" s="12" t="s">
        <v>1151</v>
      </c>
      <c r="B24" s="30" t="s">
        <v>1152</v>
      </c>
      <c r="C24" s="30" t="s">
        <v>943</v>
      </c>
      <c r="D24" s="13">
        <v>957</v>
      </c>
      <c r="E24" s="14">
        <v>34.54</v>
      </c>
      <c r="F24" s="15">
        <v>2.8799999999999999E-2</v>
      </c>
      <c r="G24" s="15"/>
    </row>
    <row r="25" spans="1:7" x14ac:dyDescent="0.35">
      <c r="A25" s="12" t="s">
        <v>1457</v>
      </c>
      <c r="B25" s="30" t="s">
        <v>1458</v>
      </c>
      <c r="C25" s="30" t="s">
        <v>898</v>
      </c>
      <c r="D25" s="13">
        <v>836</v>
      </c>
      <c r="E25" s="14">
        <v>32.19</v>
      </c>
      <c r="F25" s="15">
        <v>2.69E-2</v>
      </c>
      <c r="G25" s="15"/>
    </row>
    <row r="26" spans="1:7" x14ac:dyDescent="0.35">
      <c r="A26" s="12" t="s">
        <v>1155</v>
      </c>
      <c r="B26" s="30" t="s">
        <v>1156</v>
      </c>
      <c r="C26" s="30" t="s">
        <v>1010</v>
      </c>
      <c r="D26" s="13">
        <v>6096</v>
      </c>
      <c r="E26" s="14">
        <v>31.98</v>
      </c>
      <c r="F26" s="15">
        <v>2.6700000000000002E-2</v>
      </c>
      <c r="G26" s="15"/>
    </row>
    <row r="27" spans="1:7" x14ac:dyDescent="0.35">
      <c r="A27" s="12" t="s">
        <v>1524</v>
      </c>
      <c r="B27" s="30" t="s">
        <v>1525</v>
      </c>
      <c r="C27" s="30" t="s">
        <v>898</v>
      </c>
      <c r="D27" s="13">
        <v>1183</v>
      </c>
      <c r="E27" s="14">
        <v>31.67</v>
      </c>
      <c r="F27" s="15">
        <v>2.64E-2</v>
      </c>
      <c r="G27" s="15"/>
    </row>
    <row r="28" spans="1:7" x14ac:dyDescent="0.35">
      <c r="A28" s="12" t="s">
        <v>1159</v>
      </c>
      <c r="B28" s="30" t="s">
        <v>1160</v>
      </c>
      <c r="C28" s="30" t="s">
        <v>931</v>
      </c>
      <c r="D28" s="13">
        <v>1220</v>
      </c>
      <c r="E28" s="14">
        <v>31.53</v>
      </c>
      <c r="F28" s="15">
        <v>2.63E-2</v>
      </c>
      <c r="G28" s="15"/>
    </row>
    <row r="29" spans="1:7" x14ac:dyDescent="0.35">
      <c r="A29" s="12" t="s">
        <v>1008</v>
      </c>
      <c r="B29" s="30" t="s">
        <v>1009</v>
      </c>
      <c r="C29" s="30" t="s">
        <v>1010</v>
      </c>
      <c r="D29" s="13">
        <v>5669</v>
      </c>
      <c r="E29" s="14">
        <v>31.45</v>
      </c>
      <c r="F29" s="15">
        <v>2.6200000000000001E-2</v>
      </c>
      <c r="G29" s="15"/>
    </row>
    <row r="30" spans="1:7" x14ac:dyDescent="0.35">
      <c r="A30" s="12" t="s">
        <v>1016</v>
      </c>
      <c r="B30" s="30" t="s">
        <v>1017</v>
      </c>
      <c r="C30" s="30" t="s">
        <v>958</v>
      </c>
      <c r="D30" s="13">
        <v>1135</v>
      </c>
      <c r="E30" s="14">
        <v>31.34</v>
      </c>
      <c r="F30" s="15">
        <v>2.6100000000000002E-2</v>
      </c>
      <c r="G30" s="15"/>
    </row>
    <row r="31" spans="1:7" x14ac:dyDescent="0.35">
      <c r="A31" s="12" t="s">
        <v>1672</v>
      </c>
      <c r="B31" s="30" t="s">
        <v>1673</v>
      </c>
      <c r="C31" s="30" t="s">
        <v>911</v>
      </c>
      <c r="D31" s="13">
        <v>599</v>
      </c>
      <c r="E31" s="14">
        <v>28.39</v>
      </c>
      <c r="F31" s="15">
        <v>2.3699999999999999E-2</v>
      </c>
      <c r="G31" s="15"/>
    </row>
    <row r="32" spans="1:7" x14ac:dyDescent="0.35">
      <c r="A32" s="12" t="s">
        <v>1163</v>
      </c>
      <c r="B32" s="30" t="s">
        <v>1164</v>
      </c>
      <c r="C32" s="30" t="s">
        <v>958</v>
      </c>
      <c r="D32" s="13">
        <v>2231</v>
      </c>
      <c r="E32" s="14">
        <v>27.14</v>
      </c>
      <c r="F32" s="15">
        <v>2.2599999999999999E-2</v>
      </c>
      <c r="G32" s="15"/>
    </row>
    <row r="33" spans="1:7" x14ac:dyDescent="0.35">
      <c r="A33" s="12" t="s">
        <v>875</v>
      </c>
      <c r="B33" s="30" t="s">
        <v>876</v>
      </c>
      <c r="C33" s="30" t="s">
        <v>877</v>
      </c>
      <c r="D33" s="13">
        <v>1054</v>
      </c>
      <c r="E33" s="14">
        <v>26.67</v>
      </c>
      <c r="F33" s="15">
        <v>2.2200000000000001E-2</v>
      </c>
      <c r="G33" s="15"/>
    </row>
    <row r="34" spans="1:7" x14ac:dyDescent="0.35">
      <c r="A34" s="12" t="s">
        <v>1413</v>
      </c>
      <c r="B34" s="30" t="s">
        <v>1414</v>
      </c>
      <c r="C34" s="30" t="s">
        <v>1010</v>
      </c>
      <c r="D34" s="13">
        <v>2773</v>
      </c>
      <c r="E34" s="14">
        <v>23</v>
      </c>
      <c r="F34" s="15">
        <v>1.9199999999999998E-2</v>
      </c>
      <c r="G34" s="15"/>
    </row>
    <row r="35" spans="1:7" x14ac:dyDescent="0.35">
      <c r="A35" s="12" t="s">
        <v>1674</v>
      </c>
      <c r="B35" s="30" t="s">
        <v>1675</v>
      </c>
      <c r="C35" s="30" t="s">
        <v>885</v>
      </c>
      <c r="D35" s="13">
        <v>1771</v>
      </c>
      <c r="E35" s="14">
        <v>18.48</v>
      </c>
      <c r="F35" s="15">
        <v>1.54E-2</v>
      </c>
      <c r="G35" s="15"/>
    </row>
    <row r="36" spans="1:7" x14ac:dyDescent="0.35">
      <c r="A36" s="12" t="s">
        <v>956</v>
      </c>
      <c r="B36" s="30" t="s">
        <v>957</v>
      </c>
      <c r="C36" s="30" t="s">
        <v>958</v>
      </c>
      <c r="D36" s="13">
        <v>3128</v>
      </c>
      <c r="E36" s="14">
        <v>18.32</v>
      </c>
      <c r="F36" s="15">
        <v>1.5299999999999999E-2</v>
      </c>
      <c r="G36" s="15"/>
    </row>
    <row r="37" spans="1:7" x14ac:dyDescent="0.35">
      <c r="A37" s="12" t="s">
        <v>951</v>
      </c>
      <c r="B37" s="30" t="s">
        <v>952</v>
      </c>
      <c r="C37" s="30" t="s">
        <v>953</v>
      </c>
      <c r="D37" s="13">
        <v>110</v>
      </c>
      <c r="E37" s="14">
        <v>18.14</v>
      </c>
      <c r="F37" s="15">
        <v>1.5100000000000001E-2</v>
      </c>
      <c r="G37" s="15"/>
    </row>
    <row r="38" spans="1:7" x14ac:dyDescent="0.35">
      <c r="A38" s="16" t="s">
        <v>102</v>
      </c>
      <c r="B38" s="31"/>
      <c r="C38" s="31"/>
      <c r="D38" s="17"/>
      <c r="E38" s="37">
        <v>1192.02</v>
      </c>
      <c r="F38" s="38">
        <v>0.99429999999999996</v>
      </c>
      <c r="G38" s="20"/>
    </row>
    <row r="39" spans="1:7" x14ac:dyDescent="0.35">
      <c r="A39" s="16" t="s">
        <v>1206</v>
      </c>
      <c r="B39" s="30"/>
      <c r="C39" s="30"/>
      <c r="D39" s="13"/>
      <c r="E39" s="14"/>
      <c r="F39" s="15"/>
      <c r="G39" s="15"/>
    </row>
    <row r="40" spans="1:7" x14ac:dyDescent="0.35">
      <c r="A40" s="16" t="s">
        <v>102</v>
      </c>
      <c r="B40" s="30"/>
      <c r="C40" s="30"/>
      <c r="D40" s="13"/>
      <c r="E40" s="39" t="s">
        <v>96</v>
      </c>
      <c r="F40" s="40" t="s">
        <v>96</v>
      </c>
      <c r="G40" s="15"/>
    </row>
    <row r="41" spans="1:7" x14ac:dyDescent="0.35">
      <c r="A41" s="21" t="s">
        <v>129</v>
      </c>
      <c r="B41" s="32"/>
      <c r="C41" s="32"/>
      <c r="D41" s="22"/>
      <c r="E41" s="27">
        <v>1192.02</v>
      </c>
      <c r="F41" s="28">
        <v>0.99429999999999996</v>
      </c>
      <c r="G41" s="20"/>
    </row>
    <row r="42" spans="1:7" x14ac:dyDescent="0.35">
      <c r="A42" s="12"/>
      <c r="B42" s="30"/>
      <c r="C42" s="30"/>
      <c r="D42" s="13"/>
      <c r="E42" s="14"/>
      <c r="F42" s="15"/>
      <c r="G42" s="15"/>
    </row>
    <row r="43" spans="1:7" x14ac:dyDescent="0.35">
      <c r="A43" s="12"/>
      <c r="B43" s="30"/>
      <c r="C43" s="30"/>
      <c r="D43" s="13"/>
      <c r="E43" s="14"/>
      <c r="F43" s="15"/>
      <c r="G43" s="15"/>
    </row>
    <row r="44" spans="1:7" x14ac:dyDescent="0.35">
      <c r="A44" s="16" t="s">
        <v>130</v>
      </c>
      <c r="B44" s="30"/>
      <c r="C44" s="30"/>
      <c r="D44" s="13"/>
      <c r="E44" s="14"/>
      <c r="F44" s="15"/>
      <c r="G44" s="15"/>
    </row>
    <row r="45" spans="1:7" x14ac:dyDescent="0.35">
      <c r="A45" s="12" t="s">
        <v>131</v>
      </c>
      <c r="B45" s="30"/>
      <c r="C45" s="30"/>
      <c r="D45" s="13"/>
      <c r="E45" s="14">
        <v>8</v>
      </c>
      <c r="F45" s="15">
        <v>6.7000000000000002E-3</v>
      </c>
      <c r="G45" s="107">
        <v>6.1074000000000003E-2</v>
      </c>
    </row>
    <row r="46" spans="1:7" x14ac:dyDescent="0.35">
      <c r="A46" s="16" t="s">
        <v>102</v>
      </c>
      <c r="B46" s="31"/>
      <c r="C46" s="31"/>
      <c r="D46" s="17"/>
      <c r="E46" s="37">
        <v>8</v>
      </c>
      <c r="F46" s="38">
        <v>6.7000000000000002E-3</v>
      </c>
      <c r="G46" s="108"/>
    </row>
    <row r="47" spans="1:7" x14ac:dyDescent="0.35">
      <c r="A47" s="12"/>
      <c r="B47" s="30"/>
      <c r="C47" s="30"/>
      <c r="D47" s="13"/>
      <c r="E47" s="14"/>
      <c r="F47" s="15"/>
      <c r="G47" s="107"/>
    </row>
    <row r="48" spans="1:7" x14ac:dyDescent="0.35">
      <c r="A48" s="21" t="s">
        <v>129</v>
      </c>
      <c r="B48" s="32"/>
      <c r="C48" s="32"/>
      <c r="D48" s="22"/>
      <c r="E48" s="18">
        <v>8</v>
      </c>
      <c r="F48" s="19">
        <v>6.7000000000000002E-3</v>
      </c>
      <c r="G48" s="108"/>
    </row>
    <row r="49" spans="1:7" x14ac:dyDescent="0.35">
      <c r="A49" s="12" t="s">
        <v>132</v>
      </c>
      <c r="B49" s="30"/>
      <c r="C49" s="30"/>
      <c r="D49" s="13"/>
      <c r="E49" s="14">
        <v>1.3384E-3</v>
      </c>
      <c r="F49" s="15">
        <v>9.9999999999999995E-7</v>
      </c>
      <c r="G49" s="107"/>
    </row>
    <row r="50" spans="1:7" x14ac:dyDescent="0.35">
      <c r="A50" s="12" t="s">
        <v>133</v>
      </c>
      <c r="B50" s="30"/>
      <c r="C50" s="30"/>
      <c r="D50" s="13"/>
      <c r="E50" s="23">
        <v>-1.3213383999999999</v>
      </c>
      <c r="F50" s="24">
        <v>-1.0009999999999999E-3</v>
      </c>
      <c r="G50" s="107">
        <v>6.1074000000000003E-2</v>
      </c>
    </row>
    <row r="51" spans="1:7" x14ac:dyDescent="0.35">
      <c r="A51" s="25" t="s">
        <v>134</v>
      </c>
      <c r="B51" s="33"/>
      <c r="C51" s="33"/>
      <c r="D51" s="26"/>
      <c r="E51" s="27">
        <v>1198.7</v>
      </c>
      <c r="F51" s="28">
        <v>1</v>
      </c>
      <c r="G51" s="28"/>
    </row>
    <row r="56" spans="1:7" x14ac:dyDescent="0.35">
      <c r="A56" s="1" t="s">
        <v>1981</v>
      </c>
    </row>
    <row r="57" spans="1:7" x14ac:dyDescent="0.35">
      <c r="A57" s="47" t="s">
        <v>1982</v>
      </c>
      <c r="B57" s="34" t="s">
        <v>96</v>
      </c>
    </row>
    <row r="58" spans="1:7" x14ac:dyDescent="0.35">
      <c r="A58" t="s">
        <v>1983</v>
      </c>
    </row>
    <row r="59" spans="1:7" x14ac:dyDescent="0.35">
      <c r="A59" t="s">
        <v>1984</v>
      </c>
      <c r="B59" t="s">
        <v>1985</v>
      </c>
      <c r="C59" t="s">
        <v>1985</v>
      </c>
    </row>
    <row r="60" spans="1:7" x14ac:dyDescent="0.35">
      <c r="B60" s="48">
        <v>44834</v>
      </c>
      <c r="C60" s="48">
        <v>44865</v>
      </c>
    </row>
    <row r="61" spans="1:7" x14ac:dyDescent="0.35">
      <c r="A61" t="s">
        <v>1989</v>
      </c>
      <c r="B61">
        <v>9.6704000000000008</v>
      </c>
      <c r="C61">
        <v>9.9107000000000003</v>
      </c>
      <c r="E61" s="2"/>
      <c r="G61"/>
    </row>
    <row r="62" spans="1:7" x14ac:dyDescent="0.35">
      <c r="A62" t="s">
        <v>1990</v>
      </c>
      <c r="B62">
        <v>9.5350999999999999</v>
      </c>
      <c r="C62">
        <v>9.7720000000000002</v>
      </c>
      <c r="E62" s="2"/>
      <c r="G62"/>
    </row>
    <row r="63" spans="1:7" x14ac:dyDescent="0.35">
      <c r="A63" t="s">
        <v>2014</v>
      </c>
      <c r="B63">
        <v>9.6122999999999994</v>
      </c>
      <c r="C63">
        <v>9.8460999999999999</v>
      </c>
      <c r="E63" s="2"/>
      <c r="G63"/>
    </row>
    <row r="64" spans="1:7" x14ac:dyDescent="0.35">
      <c r="A64" t="s">
        <v>2015</v>
      </c>
      <c r="B64">
        <v>9.6119000000000003</v>
      </c>
      <c r="C64">
        <v>9.8458000000000006</v>
      </c>
      <c r="E64" s="2"/>
      <c r="G64"/>
    </row>
    <row r="65" spans="1:7" x14ac:dyDescent="0.35">
      <c r="E65" s="2"/>
      <c r="G65"/>
    </row>
    <row r="66" spans="1:7" x14ac:dyDescent="0.35">
      <c r="A66" t="s">
        <v>2000</v>
      </c>
      <c r="B66" s="34" t="s">
        <v>96</v>
      </c>
    </row>
    <row r="67" spans="1:7" x14ac:dyDescent="0.35">
      <c r="A67" t="s">
        <v>2001</v>
      </c>
      <c r="B67" s="34" t="s">
        <v>96</v>
      </c>
    </row>
    <row r="68" spans="1:7" ht="29" x14ac:dyDescent="0.35">
      <c r="A68" s="47" t="s">
        <v>2002</v>
      </c>
      <c r="B68" s="34" t="s">
        <v>96</v>
      </c>
    </row>
    <row r="69" spans="1:7" ht="29" x14ac:dyDescent="0.35">
      <c r="A69" s="47" t="s">
        <v>2003</v>
      </c>
      <c r="B69" s="34" t="s">
        <v>96</v>
      </c>
    </row>
    <row r="70" spans="1:7" x14ac:dyDescent="0.35">
      <c r="A70" t="s">
        <v>2033</v>
      </c>
      <c r="B70" s="49">
        <v>0.82660900000000004</v>
      </c>
    </row>
    <row r="71" spans="1:7" ht="43.5" x14ac:dyDescent="0.35">
      <c r="A71" s="47" t="s">
        <v>2005</v>
      </c>
      <c r="B71" s="34" t="s">
        <v>96</v>
      </c>
    </row>
    <row r="72" spans="1:7" ht="29" x14ac:dyDescent="0.35">
      <c r="A72" s="47" t="s">
        <v>2006</v>
      </c>
      <c r="B72" s="34" t="s">
        <v>96</v>
      </c>
    </row>
    <row r="73" spans="1:7" ht="29" x14ac:dyDescent="0.35">
      <c r="A73" s="47" t="s">
        <v>2009</v>
      </c>
      <c r="B73" s="34" t="s">
        <v>96</v>
      </c>
    </row>
    <row r="74" spans="1:7" ht="29" x14ac:dyDescent="0.35">
      <c r="A74" s="47" t="s">
        <v>2135</v>
      </c>
      <c r="B74" s="34" t="s">
        <v>96</v>
      </c>
    </row>
    <row r="75" spans="1:7" ht="29" x14ac:dyDescent="0.35">
      <c r="A75" s="47" t="s">
        <v>2136</v>
      </c>
      <c r="B75" s="34" t="s">
        <v>96</v>
      </c>
    </row>
    <row r="77" spans="1:7" ht="29" x14ac:dyDescent="0.35">
      <c r="A77" s="314" t="s">
        <v>2154</v>
      </c>
      <c r="B77" s="315" t="s">
        <v>2155</v>
      </c>
      <c r="C77" s="315" t="s">
        <v>2156</v>
      </c>
      <c r="D77" s="318" t="s">
        <v>2157</v>
      </c>
    </row>
    <row r="78" spans="1:7" ht="67" customHeight="1" x14ac:dyDescent="0.35">
      <c r="A78" s="317" t="s">
        <v>2205</v>
      </c>
      <c r="B78" s="316"/>
      <c r="C78" s="316" t="s">
        <v>2234</v>
      </c>
      <c r="D78" s="31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2042-4975-4B2E-9F33-2C5880F9B4AF}">
  <dimension ref="A1:H99"/>
  <sheetViews>
    <sheetView showGridLines="0" workbookViewId="0">
      <pane ySplit="4" topLeftCell="A99" activePane="bottomLeft" state="frozen"/>
      <selection activeCell="A2" sqref="A2:XFD2"/>
      <selection pane="bottomLeft" activeCell="C99" sqref="C99"/>
    </sheetView>
  </sheetViews>
  <sheetFormatPr defaultRowHeight="14.5" x14ac:dyDescent="0.35"/>
  <cols>
    <col min="1" max="1" width="50.453125" customWidth="1"/>
    <col min="2" max="2" width="21.54296875" customWidth="1"/>
    <col min="3" max="3" width="26.6328125" customWidth="1"/>
    <col min="4" max="4" width="21.542968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65</v>
      </c>
      <c r="B1" s="151"/>
      <c r="C1" s="151"/>
      <c r="D1" s="151"/>
      <c r="E1" s="151"/>
      <c r="F1" s="151"/>
      <c r="G1" s="151"/>
      <c r="H1" s="50" t="str">
        <f>HYPERLINK("[EDEL_Portfolio Monthly Notes 31-Oct-2022.xlsx]Index!A1","Index")</f>
        <v>Index</v>
      </c>
    </row>
    <row r="2" spans="1:8" ht="31" customHeight="1" x14ac:dyDescent="0.35">
      <c r="A2" s="151" t="s">
        <v>66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863</v>
      </c>
      <c r="B8" s="30" t="s">
        <v>864</v>
      </c>
      <c r="C8" s="30" t="s">
        <v>865</v>
      </c>
      <c r="D8" s="13">
        <v>4001</v>
      </c>
      <c r="E8" s="14">
        <v>102.01</v>
      </c>
      <c r="F8" s="15">
        <v>0.11</v>
      </c>
      <c r="G8" s="15"/>
    </row>
    <row r="9" spans="1:8" x14ac:dyDescent="0.35">
      <c r="A9" s="12" t="s">
        <v>894</v>
      </c>
      <c r="B9" s="30" t="s">
        <v>895</v>
      </c>
      <c r="C9" s="30" t="s">
        <v>862</v>
      </c>
      <c r="D9" s="13">
        <v>5102</v>
      </c>
      <c r="E9" s="14">
        <v>76.36</v>
      </c>
      <c r="F9" s="15">
        <v>8.2299999999999998E-2</v>
      </c>
      <c r="G9" s="15"/>
    </row>
    <row r="10" spans="1:8" x14ac:dyDescent="0.35">
      <c r="A10" s="12" t="s">
        <v>889</v>
      </c>
      <c r="B10" s="30" t="s">
        <v>890</v>
      </c>
      <c r="C10" s="30" t="s">
        <v>862</v>
      </c>
      <c r="D10" s="13">
        <v>8079</v>
      </c>
      <c r="E10" s="14">
        <v>73.41</v>
      </c>
      <c r="F10" s="15">
        <v>7.9200000000000007E-2</v>
      </c>
      <c r="G10" s="15"/>
    </row>
    <row r="11" spans="1:8" x14ac:dyDescent="0.35">
      <c r="A11" s="12" t="s">
        <v>975</v>
      </c>
      <c r="B11" s="30" t="s">
        <v>976</v>
      </c>
      <c r="C11" s="30" t="s">
        <v>911</v>
      </c>
      <c r="D11" s="13">
        <v>4245</v>
      </c>
      <c r="E11" s="14">
        <v>65.27</v>
      </c>
      <c r="F11" s="15">
        <v>7.0400000000000004E-2</v>
      </c>
      <c r="G11" s="15"/>
    </row>
    <row r="12" spans="1:8" x14ac:dyDescent="0.35">
      <c r="A12" s="12" t="s">
        <v>883</v>
      </c>
      <c r="B12" s="30" t="s">
        <v>884</v>
      </c>
      <c r="C12" s="30" t="s">
        <v>885</v>
      </c>
      <c r="D12" s="13">
        <v>2103</v>
      </c>
      <c r="E12" s="14">
        <v>51.94</v>
      </c>
      <c r="F12" s="15">
        <v>5.6000000000000001E-2</v>
      </c>
      <c r="G12" s="15"/>
    </row>
    <row r="13" spans="1:8" x14ac:dyDescent="0.35">
      <c r="A13" s="12" t="s">
        <v>918</v>
      </c>
      <c r="B13" s="30" t="s">
        <v>919</v>
      </c>
      <c r="C13" s="30" t="s">
        <v>911</v>
      </c>
      <c r="D13" s="13">
        <v>1188</v>
      </c>
      <c r="E13" s="14">
        <v>37.93</v>
      </c>
      <c r="F13" s="15">
        <v>4.0899999999999999E-2</v>
      </c>
      <c r="G13" s="15"/>
    </row>
    <row r="14" spans="1:8" x14ac:dyDescent="0.35">
      <c r="A14" s="12" t="s">
        <v>948</v>
      </c>
      <c r="B14" s="30" t="s">
        <v>949</v>
      </c>
      <c r="C14" s="30" t="s">
        <v>950</v>
      </c>
      <c r="D14" s="13">
        <v>10208</v>
      </c>
      <c r="E14" s="14">
        <v>35.6</v>
      </c>
      <c r="F14" s="15">
        <v>3.8399999999999997E-2</v>
      </c>
      <c r="G14" s="15"/>
    </row>
    <row r="15" spans="1:8" x14ac:dyDescent="0.35">
      <c r="A15" s="12" t="s">
        <v>860</v>
      </c>
      <c r="B15" s="30" t="s">
        <v>861</v>
      </c>
      <c r="C15" s="30" t="s">
        <v>862</v>
      </c>
      <c r="D15" s="13">
        <v>1703</v>
      </c>
      <c r="E15" s="14">
        <v>32.39</v>
      </c>
      <c r="F15" s="15">
        <v>3.49E-2</v>
      </c>
      <c r="G15" s="15"/>
    </row>
    <row r="16" spans="1:8" x14ac:dyDescent="0.35">
      <c r="A16" s="12" t="s">
        <v>1020</v>
      </c>
      <c r="B16" s="30" t="s">
        <v>1021</v>
      </c>
      <c r="C16" s="30" t="s">
        <v>1022</v>
      </c>
      <c r="D16" s="13">
        <v>1401</v>
      </c>
      <c r="E16" s="14">
        <v>28.34</v>
      </c>
      <c r="F16" s="15">
        <v>3.0599999999999999E-2</v>
      </c>
      <c r="G16" s="15"/>
    </row>
    <row r="17" spans="1:7" x14ac:dyDescent="0.35">
      <c r="A17" s="12" t="s">
        <v>916</v>
      </c>
      <c r="B17" s="30" t="s">
        <v>917</v>
      </c>
      <c r="C17" s="30" t="s">
        <v>862</v>
      </c>
      <c r="D17" s="13">
        <v>3063</v>
      </c>
      <c r="E17" s="14">
        <v>27.75</v>
      </c>
      <c r="F17" s="15">
        <v>2.9899999999999999E-2</v>
      </c>
      <c r="G17" s="15"/>
    </row>
    <row r="18" spans="1:7" x14ac:dyDescent="0.35">
      <c r="A18" s="12" t="s">
        <v>1143</v>
      </c>
      <c r="B18" s="30" t="s">
        <v>1144</v>
      </c>
      <c r="C18" s="30" t="s">
        <v>950</v>
      </c>
      <c r="D18" s="13">
        <v>1035</v>
      </c>
      <c r="E18" s="14">
        <v>26.4</v>
      </c>
      <c r="F18" s="15">
        <v>2.8500000000000001E-2</v>
      </c>
      <c r="G18" s="15"/>
    </row>
    <row r="19" spans="1:7" x14ac:dyDescent="0.35">
      <c r="A19" s="12" t="s">
        <v>961</v>
      </c>
      <c r="B19" s="30" t="s">
        <v>962</v>
      </c>
      <c r="C19" s="30" t="s">
        <v>862</v>
      </c>
      <c r="D19" s="13">
        <v>4450</v>
      </c>
      <c r="E19" s="14">
        <v>25.53</v>
      </c>
      <c r="F19" s="15">
        <v>2.75E-2</v>
      </c>
      <c r="G19" s="15"/>
    </row>
    <row r="20" spans="1:7" x14ac:dyDescent="0.35">
      <c r="A20" s="12" t="s">
        <v>1440</v>
      </c>
      <c r="B20" s="30" t="s">
        <v>1456</v>
      </c>
      <c r="C20" s="30" t="s">
        <v>988</v>
      </c>
      <c r="D20" s="13">
        <v>2838</v>
      </c>
      <c r="E20" s="14">
        <v>23.61</v>
      </c>
      <c r="F20" s="15">
        <v>2.5499999999999998E-2</v>
      </c>
      <c r="G20" s="15"/>
    </row>
    <row r="21" spans="1:7" x14ac:dyDescent="0.35">
      <c r="A21" s="12" t="s">
        <v>959</v>
      </c>
      <c r="B21" s="30" t="s">
        <v>960</v>
      </c>
      <c r="C21" s="30" t="s">
        <v>885</v>
      </c>
      <c r="D21" s="13">
        <v>308</v>
      </c>
      <c r="E21" s="14">
        <v>22</v>
      </c>
      <c r="F21" s="15">
        <v>2.3699999999999999E-2</v>
      </c>
      <c r="G21" s="15"/>
    </row>
    <row r="22" spans="1:7" x14ac:dyDescent="0.35">
      <c r="A22" s="12" t="s">
        <v>1116</v>
      </c>
      <c r="B22" s="30" t="s">
        <v>1117</v>
      </c>
      <c r="C22" s="30" t="s">
        <v>958</v>
      </c>
      <c r="D22" s="13">
        <v>522</v>
      </c>
      <c r="E22" s="14">
        <v>16.22</v>
      </c>
      <c r="F22" s="15">
        <v>1.7500000000000002E-2</v>
      </c>
      <c r="G22" s="15"/>
    </row>
    <row r="23" spans="1:7" x14ac:dyDescent="0.35">
      <c r="A23" s="12" t="s">
        <v>1124</v>
      </c>
      <c r="B23" s="30" t="s">
        <v>1125</v>
      </c>
      <c r="C23" s="30" t="s">
        <v>898</v>
      </c>
      <c r="D23" s="13">
        <v>1110</v>
      </c>
      <c r="E23" s="14">
        <v>14.97</v>
      </c>
      <c r="F23" s="15">
        <v>1.61E-2</v>
      </c>
      <c r="G23" s="15"/>
    </row>
    <row r="24" spans="1:7" x14ac:dyDescent="0.35">
      <c r="A24" s="12" t="s">
        <v>896</v>
      </c>
      <c r="B24" s="30" t="s">
        <v>897</v>
      </c>
      <c r="C24" s="30" t="s">
        <v>898</v>
      </c>
      <c r="D24" s="13">
        <v>154</v>
      </c>
      <c r="E24" s="14">
        <v>14.67</v>
      </c>
      <c r="F24" s="15">
        <v>1.5800000000000002E-2</v>
      </c>
      <c r="G24" s="15"/>
    </row>
    <row r="25" spans="1:7" x14ac:dyDescent="0.35">
      <c r="A25" s="12" t="s">
        <v>1016</v>
      </c>
      <c r="B25" s="30" t="s">
        <v>1017</v>
      </c>
      <c r="C25" s="30" t="s">
        <v>958</v>
      </c>
      <c r="D25" s="13">
        <v>483</v>
      </c>
      <c r="E25" s="14">
        <v>13.34</v>
      </c>
      <c r="F25" s="15">
        <v>1.44E-2</v>
      </c>
      <c r="G25" s="15"/>
    </row>
    <row r="26" spans="1:7" x14ac:dyDescent="0.35">
      <c r="A26" s="12" t="s">
        <v>909</v>
      </c>
      <c r="B26" s="30" t="s">
        <v>910</v>
      </c>
      <c r="C26" s="30" t="s">
        <v>911</v>
      </c>
      <c r="D26" s="13">
        <v>1227</v>
      </c>
      <c r="E26" s="14">
        <v>12.77</v>
      </c>
      <c r="F26" s="15">
        <v>1.38E-2</v>
      </c>
      <c r="G26" s="15"/>
    </row>
    <row r="27" spans="1:7" x14ac:dyDescent="0.35">
      <c r="A27" s="12" t="s">
        <v>1042</v>
      </c>
      <c r="B27" s="30" t="s">
        <v>1043</v>
      </c>
      <c r="C27" s="30" t="s">
        <v>943</v>
      </c>
      <c r="D27" s="13">
        <v>1252</v>
      </c>
      <c r="E27" s="14">
        <v>12.73</v>
      </c>
      <c r="F27" s="15">
        <v>1.37E-2</v>
      </c>
      <c r="G27" s="15"/>
    </row>
    <row r="28" spans="1:7" x14ac:dyDescent="0.35">
      <c r="A28" s="12" t="s">
        <v>1401</v>
      </c>
      <c r="B28" s="30" t="s">
        <v>1402</v>
      </c>
      <c r="C28" s="30" t="s">
        <v>885</v>
      </c>
      <c r="D28" s="13">
        <v>701</v>
      </c>
      <c r="E28" s="14">
        <v>11.83</v>
      </c>
      <c r="F28" s="15">
        <v>1.2800000000000001E-2</v>
      </c>
      <c r="G28" s="15"/>
    </row>
    <row r="29" spans="1:7" x14ac:dyDescent="0.35">
      <c r="A29" s="12" t="s">
        <v>869</v>
      </c>
      <c r="B29" s="30" t="s">
        <v>870</v>
      </c>
      <c r="C29" s="30" t="s">
        <v>871</v>
      </c>
      <c r="D29" s="13">
        <v>317</v>
      </c>
      <c r="E29" s="14">
        <v>10.61</v>
      </c>
      <c r="F29" s="15">
        <v>1.14E-2</v>
      </c>
      <c r="G29" s="15"/>
    </row>
    <row r="30" spans="1:7" x14ac:dyDescent="0.35">
      <c r="A30" s="12" t="s">
        <v>1169</v>
      </c>
      <c r="B30" s="30" t="s">
        <v>1170</v>
      </c>
      <c r="C30" s="30" t="s">
        <v>901</v>
      </c>
      <c r="D30" s="13">
        <v>5509</v>
      </c>
      <c r="E30" s="14">
        <v>9.5399999999999991</v>
      </c>
      <c r="F30" s="15">
        <v>1.03E-2</v>
      </c>
      <c r="G30" s="15"/>
    </row>
    <row r="31" spans="1:7" x14ac:dyDescent="0.35">
      <c r="A31" s="12" t="s">
        <v>1171</v>
      </c>
      <c r="B31" s="30" t="s">
        <v>1172</v>
      </c>
      <c r="C31" s="30" t="s">
        <v>971</v>
      </c>
      <c r="D31" s="13">
        <v>9353</v>
      </c>
      <c r="E31" s="14">
        <v>9.5</v>
      </c>
      <c r="F31" s="15">
        <v>1.0200000000000001E-2</v>
      </c>
      <c r="G31" s="15"/>
    </row>
    <row r="32" spans="1:7" x14ac:dyDescent="0.35">
      <c r="A32" s="12" t="s">
        <v>1519</v>
      </c>
      <c r="B32" s="30" t="s">
        <v>1520</v>
      </c>
      <c r="C32" s="30" t="s">
        <v>901</v>
      </c>
      <c r="D32" s="13">
        <v>3963</v>
      </c>
      <c r="E32" s="14">
        <v>9.0399999999999991</v>
      </c>
      <c r="F32" s="15">
        <v>9.7000000000000003E-3</v>
      </c>
      <c r="G32" s="15"/>
    </row>
    <row r="33" spans="1:7" x14ac:dyDescent="0.35">
      <c r="A33" s="12" t="s">
        <v>1040</v>
      </c>
      <c r="B33" s="30" t="s">
        <v>1041</v>
      </c>
      <c r="C33" s="30" t="s">
        <v>908</v>
      </c>
      <c r="D33" s="13">
        <v>133</v>
      </c>
      <c r="E33" s="14">
        <v>8.93</v>
      </c>
      <c r="F33" s="15">
        <v>9.5999999999999992E-3</v>
      </c>
      <c r="G33" s="15"/>
    </row>
    <row r="34" spans="1:7" x14ac:dyDescent="0.35">
      <c r="A34" s="12" t="s">
        <v>914</v>
      </c>
      <c r="B34" s="30" t="s">
        <v>915</v>
      </c>
      <c r="C34" s="30" t="s">
        <v>862</v>
      </c>
      <c r="D34" s="13">
        <v>755</v>
      </c>
      <c r="E34" s="14">
        <v>8.6300000000000008</v>
      </c>
      <c r="F34" s="15">
        <v>9.2999999999999992E-3</v>
      </c>
      <c r="G34" s="15"/>
    </row>
    <row r="35" spans="1:7" x14ac:dyDescent="0.35">
      <c r="A35" s="12" t="s">
        <v>1137</v>
      </c>
      <c r="B35" s="30" t="s">
        <v>1138</v>
      </c>
      <c r="C35" s="30" t="s">
        <v>898</v>
      </c>
      <c r="D35" s="13">
        <v>2079</v>
      </c>
      <c r="E35" s="14">
        <v>8.58</v>
      </c>
      <c r="F35" s="15">
        <v>9.2999999999999992E-3</v>
      </c>
      <c r="G35" s="15"/>
    </row>
    <row r="36" spans="1:7" x14ac:dyDescent="0.35">
      <c r="A36" s="12" t="s">
        <v>1023</v>
      </c>
      <c r="B36" s="30" t="s">
        <v>1024</v>
      </c>
      <c r="C36" s="30" t="s">
        <v>1025</v>
      </c>
      <c r="D36" s="13">
        <v>41</v>
      </c>
      <c r="E36" s="14">
        <v>8.35</v>
      </c>
      <c r="F36" s="15">
        <v>8.9999999999999993E-3</v>
      </c>
      <c r="G36" s="15"/>
    </row>
    <row r="37" spans="1:7" x14ac:dyDescent="0.35">
      <c r="A37" s="12" t="s">
        <v>925</v>
      </c>
      <c r="B37" s="30" t="s">
        <v>926</v>
      </c>
      <c r="C37" s="30" t="s">
        <v>911</v>
      </c>
      <c r="D37" s="13">
        <v>733</v>
      </c>
      <c r="E37" s="14">
        <v>7.79</v>
      </c>
      <c r="F37" s="15">
        <v>8.3999999999999995E-3</v>
      </c>
      <c r="G37" s="15"/>
    </row>
    <row r="38" spans="1:7" x14ac:dyDescent="0.35">
      <c r="A38" s="12" t="s">
        <v>1112</v>
      </c>
      <c r="B38" s="30" t="s">
        <v>1113</v>
      </c>
      <c r="C38" s="30" t="s">
        <v>908</v>
      </c>
      <c r="D38" s="13">
        <v>435</v>
      </c>
      <c r="E38" s="14">
        <v>7.49</v>
      </c>
      <c r="F38" s="15">
        <v>8.0999999999999996E-3</v>
      </c>
      <c r="G38" s="15"/>
    </row>
    <row r="39" spans="1:7" x14ac:dyDescent="0.35">
      <c r="A39" s="12" t="s">
        <v>969</v>
      </c>
      <c r="B39" s="30" t="s">
        <v>970</v>
      </c>
      <c r="C39" s="30" t="s">
        <v>971</v>
      </c>
      <c r="D39" s="13">
        <v>1093</v>
      </c>
      <c r="E39" s="14">
        <v>7.37</v>
      </c>
      <c r="F39" s="15">
        <v>7.9000000000000008E-3</v>
      </c>
      <c r="G39" s="15"/>
    </row>
    <row r="40" spans="1:7" x14ac:dyDescent="0.35">
      <c r="A40" s="12" t="s">
        <v>1522</v>
      </c>
      <c r="B40" s="30" t="s">
        <v>1523</v>
      </c>
      <c r="C40" s="30" t="s">
        <v>943</v>
      </c>
      <c r="D40" s="13">
        <v>626</v>
      </c>
      <c r="E40" s="14">
        <v>7.31</v>
      </c>
      <c r="F40" s="15">
        <v>7.9000000000000008E-3</v>
      </c>
      <c r="G40" s="15"/>
    </row>
    <row r="41" spans="1:7" x14ac:dyDescent="0.35">
      <c r="A41" s="12" t="s">
        <v>872</v>
      </c>
      <c r="B41" s="30" t="s">
        <v>873</v>
      </c>
      <c r="C41" s="30" t="s">
        <v>874</v>
      </c>
      <c r="D41" s="13">
        <v>1693</v>
      </c>
      <c r="E41" s="14">
        <v>6.87</v>
      </c>
      <c r="F41" s="15">
        <v>7.4000000000000003E-3</v>
      </c>
      <c r="G41" s="15"/>
    </row>
    <row r="42" spans="1:7" x14ac:dyDescent="0.35">
      <c r="A42" s="12" t="s">
        <v>857</v>
      </c>
      <c r="B42" s="30" t="s">
        <v>858</v>
      </c>
      <c r="C42" s="30" t="s">
        <v>859</v>
      </c>
      <c r="D42" s="13">
        <v>832</v>
      </c>
      <c r="E42" s="14">
        <v>6.85</v>
      </c>
      <c r="F42" s="15">
        <v>7.4000000000000003E-3</v>
      </c>
      <c r="G42" s="15"/>
    </row>
    <row r="43" spans="1:7" x14ac:dyDescent="0.35">
      <c r="A43" s="12" t="s">
        <v>1668</v>
      </c>
      <c r="B43" s="30" t="s">
        <v>1669</v>
      </c>
      <c r="C43" s="30" t="s">
        <v>911</v>
      </c>
      <c r="D43" s="13">
        <v>1717</v>
      </c>
      <c r="E43" s="14">
        <v>6.64</v>
      </c>
      <c r="F43" s="15">
        <v>7.1999999999999998E-3</v>
      </c>
      <c r="G43" s="15"/>
    </row>
    <row r="44" spans="1:7" x14ac:dyDescent="0.35">
      <c r="A44" s="12" t="s">
        <v>1106</v>
      </c>
      <c r="B44" s="30" t="s">
        <v>1107</v>
      </c>
      <c r="C44" s="30" t="s">
        <v>983</v>
      </c>
      <c r="D44" s="13">
        <v>522</v>
      </c>
      <c r="E44" s="14">
        <v>6.61</v>
      </c>
      <c r="F44" s="15">
        <v>7.1000000000000004E-3</v>
      </c>
      <c r="G44" s="15"/>
    </row>
    <row r="45" spans="1:7" x14ac:dyDescent="0.35">
      <c r="A45" s="12" t="s">
        <v>1114</v>
      </c>
      <c r="B45" s="30" t="s">
        <v>1115</v>
      </c>
      <c r="C45" s="30" t="s">
        <v>943</v>
      </c>
      <c r="D45" s="13">
        <v>140</v>
      </c>
      <c r="E45" s="14">
        <v>6.21</v>
      </c>
      <c r="F45" s="15">
        <v>6.7000000000000002E-3</v>
      </c>
      <c r="G45" s="15"/>
    </row>
    <row r="46" spans="1:7" x14ac:dyDescent="0.35">
      <c r="A46" s="12" t="s">
        <v>1457</v>
      </c>
      <c r="B46" s="30" t="s">
        <v>1458</v>
      </c>
      <c r="C46" s="30" t="s">
        <v>898</v>
      </c>
      <c r="D46" s="13">
        <v>161</v>
      </c>
      <c r="E46" s="14">
        <v>6.2</v>
      </c>
      <c r="F46" s="15">
        <v>6.7000000000000002E-3</v>
      </c>
      <c r="G46" s="15"/>
    </row>
    <row r="47" spans="1:7" x14ac:dyDescent="0.35">
      <c r="A47" s="12" t="s">
        <v>1184</v>
      </c>
      <c r="B47" s="30" t="s">
        <v>1185</v>
      </c>
      <c r="C47" s="30" t="s">
        <v>1186</v>
      </c>
      <c r="D47" s="13">
        <v>4522</v>
      </c>
      <c r="E47" s="14">
        <v>6.06</v>
      </c>
      <c r="F47" s="15">
        <v>6.4999999999999997E-3</v>
      </c>
      <c r="G47" s="15"/>
    </row>
    <row r="48" spans="1:7" x14ac:dyDescent="0.35">
      <c r="A48" s="12" t="s">
        <v>1126</v>
      </c>
      <c r="B48" s="30" t="s">
        <v>1127</v>
      </c>
      <c r="C48" s="30" t="s">
        <v>1128</v>
      </c>
      <c r="D48" s="13">
        <v>2429</v>
      </c>
      <c r="E48" s="14">
        <v>5.97</v>
      </c>
      <c r="F48" s="15">
        <v>6.4000000000000003E-3</v>
      </c>
      <c r="G48" s="15"/>
    </row>
    <row r="49" spans="1:7" x14ac:dyDescent="0.35">
      <c r="A49" s="12" t="s">
        <v>1030</v>
      </c>
      <c r="B49" s="30" t="s">
        <v>1031</v>
      </c>
      <c r="C49" s="30" t="s">
        <v>983</v>
      </c>
      <c r="D49" s="13">
        <v>1096</v>
      </c>
      <c r="E49" s="14">
        <v>5.92</v>
      </c>
      <c r="F49" s="15">
        <v>6.4000000000000003E-3</v>
      </c>
      <c r="G49" s="15"/>
    </row>
    <row r="50" spans="1:7" x14ac:dyDescent="0.35">
      <c r="A50" s="12" t="s">
        <v>1670</v>
      </c>
      <c r="B50" s="30" t="s">
        <v>1671</v>
      </c>
      <c r="C50" s="30" t="s">
        <v>898</v>
      </c>
      <c r="D50" s="13">
        <v>148</v>
      </c>
      <c r="E50" s="14">
        <v>5.43</v>
      </c>
      <c r="F50" s="15">
        <v>5.8999999999999999E-3</v>
      </c>
      <c r="G50" s="15"/>
    </row>
    <row r="51" spans="1:7" x14ac:dyDescent="0.35">
      <c r="A51" s="12" t="s">
        <v>1676</v>
      </c>
      <c r="B51" s="30" t="s">
        <v>1677</v>
      </c>
      <c r="C51" s="30" t="s">
        <v>1097</v>
      </c>
      <c r="D51" s="13">
        <v>694</v>
      </c>
      <c r="E51" s="14">
        <v>5.34</v>
      </c>
      <c r="F51" s="15">
        <v>5.7999999999999996E-3</v>
      </c>
      <c r="G51" s="15"/>
    </row>
    <row r="52" spans="1:7" x14ac:dyDescent="0.35">
      <c r="A52" s="12" t="s">
        <v>1055</v>
      </c>
      <c r="B52" s="30" t="s">
        <v>1056</v>
      </c>
      <c r="C52" s="30" t="s">
        <v>1057</v>
      </c>
      <c r="D52" s="13">
        <v>118</v>
      </c>
      <c r="E52" s="14">
        <v>5.33</v>
      </c>
      <c r="F52" s="15">
        <v>5.7000000000000002E-3</v>
      </c>
      <c r="G52" s="15"/>
    </row>
    <row r="53" spans="1:7" x14ac:dyDescent="0.35">
      <c r="A53" s="12" t="s">
        <v>1151</v>
      </c>
      <c r="B53" s="30" t="s">
        <v>1152</v>
      </c>
      <c r="C53" s="30" t="s">
        <v>943</v>
      </c>
      <c r="D53" s="13">
        <v>147</v>
      </c>
      <c r="E53" s="14">
        <v>5.31</v>
      </c>
      <c r="F53" s="15">
        <v>5.7000000000000002E-3</v>
      </c>
      <c r="G53" s="15"/>
    </row>
    <row r="54" spans="1:7" x14ac:dyDescent="0.35">
      <c r="A54" s="12" t="s">
        <v>1507</v>
      </c>
      <c r="B54" s="30" t="s">
        <v>1508</v>
      </c>
      <c r="C54" s="30" t="s">
        <v>1025</v>
      </c>
      <c r="D54" s="13">
        <v>136</v>
      </c>
      <c r="E54" s="14">
        <v>5.12</v>
      </c>
      <c r="F54" s="15">
        <v>5.4999999999999997E-3</v>
      </c>
      <c r="G54" s="15"/>
    </row>
    <row r="55" spans="1:7" x14ac:dyDescent="0.35">
      <c r="A55" s="12" t="s">
        <v>886</v>
      </c>
      <c r="B55" s="30" t="s">
        <v>887</v>
      </c>
      <c r="C55" s="30" t="s">
        <v>888</v>
      </c>
      <c r="D55" s="13">
        <v>617</v>
      </c>
      <c r="E55" s="14">
        <v>4.51</v>
      </c>
      <c r="F55" s="15">
        <v>4.8999999999999998E-3</v>
      </c>
      <c r="G55" s="15"/>
    </row>
    <row r="56" spans="1:7" x14ac:dyDescent="0.35">
      <c r="A56" s="12" t="s">
        <v>1524</v>
      </c>
      <c r="B56" s="30" t="s">
        <v>1525</v>
      </c>
      <c r="C56" s="30" t="s">
        <v>898</v>
      </c>
      <c r="D56" s="13">
        <v>150</v>
      </c>
      <c r="E56" s="14">
        <v>4.0199999999999996</v>
      </c>
      <c r="F56" s="15">
        <v>4.3E-3</v>
      </c>
      <c r="G56" s="15"/>
    </row>
    <row r="57" spans="1:7" x14ac:dyDescent="0.35">
      <c r="A57" s="12" t="s">
        <v>1176</v>
      </c>
      <c r="B57" s="30" t="s">
        <v>1177</v>
      </c>
      <c r="C57" s="30" t="s">
        <v>865</v>
      </c>
      <c r="D57" s="13">
        <v>1106</v>
      </c>
      <c r="E57" s="14">
        <v>3.36</v>
      </c>
      <c r="F57" s="15">
        <v>3.5999999999999999E-3</v>
      </c>
      <c r="G57" s="15"/>
    </row>
    <row r="58" spans="1:7" x14ac:dyDescent="0.35">
      <c r="A58" s="12" t="s">
        <v>2132</v>
      </c>
      <c r="B58" s="30" t="s">
        <v>1687</v>
      </c>
      <c r="C58" s="30" t="s">
        <v>862</v>
      </c>
      <c r="D58" s="13">
        <v>643</v>
      </c>
      <c r="E58" s="14">
        <v>0</v>
      </c>
      <c r="F58" s="15">
        <v>0</v>
      </c>
      <c r="G58" s="15"/>
    </row>
    <row r="59" spans="1:7" x14ac:dyDescent="0.35">
      <c r="A59" s="16" t="s">
        <v>102</v>
      </c>
      <c r="B59" s="31"/>
      <c r="C59" s="31"/>
      <c r="D59" s="17"/>
      <c r="E59" s="37">
        <v>923.96</v>
      </c>
      <c r="F59" s="38">
        <v>0.99619999999999997</v>
      </c>
      <c r="G59" s="20"/>
    </row>
    <row r="60" spans="1:7" x14ac:dyDescent="0.35">
      <c r="A60" s="16" t="s">
        <v>1206</v>
      </c>
      <c r="B60" s="30"/>
      <c r="C60" s="30"/>
      <c r="D60" s="13"/>
      <c r="E60" s="14"/>
      <c r="F60" s="15"/>
      <c r="G60" s="15"/>
    </row>
    <row r="61" spans="1:7" x14ac:dyDescent="0.35">
      <c r="A61" s="16" t="s">
        <v>102</v>
      </c>
      <c r="B61" s="30"/>
      <c r="C61" s="30"/>
      <c r="D61" s="13"/>
      <c r="E61" s="39" t="s">
        <v>96</v>
      </c>
      <c r="F61" s="40" t="s">
        <v>96</v>
      </c>
      <c r="G61" s="15"/>
    </row>
    <row r="62" spans="1:7" x14ac:dyDescent="0.35">
      <c r="A62" s="21" t="s">
        <v>129</v>
      </c>
      <c r="B62" s="32"/>
      <c r="C62" s="32"/>
      <c r="D62" s="22"/>
      <c r="E62" s="27">
        <v>923.96</v>
      </c>
      <c r="F62" s="28">
        <v>0.99619999999999997</v>
      </c>
      <c r="G62" s="20"/>
    </row>
    <row r="63" spans="1:7" x14ac:dyDescent="0.35">
      <c r="A63" s="12"/>
      <c r="B63" s="30"/>
      <c r="C63" s="30"/>
      <c r="D63" s="13"/>
      <c r="E63" s="14"/>
      <c r="F63" s="15"/>
      <c r="G63" s="15"/>
    </row>
    <row r="64" spans="1:7" x14ac:dyDescent="0.35">
      <c r="A64" s="12"/>
      <c r="B64" s="30"/>
      <c r="C64" s="30"/>
      <c r="D64" s="13"/>
      <c r="E64" s="14"/>
      <c r="F64" s="15"/>
      <c r="G64" s="15"/>
    </row>
    <row r="65" spans="1:7" x14ac:dyDescent="0.35">
      <c r="A65" s="16" t="s">
        <v>130</v>
      </c>
      <c r="B65" s="30"/>
      <c r="C65" s="30"/>
      <c r="D65" s="13"/>
      <c r="E65" s="14"/>
      <c r="F65" s="15"/>
      <c r="G65" s="15"/>
    </row>
    <row r="66" spans="1:7" x14ac:dyDescent="0.35">
      <c r="A66" s="12" t="s">
        <v>131</v>
      </c>
      <c r="B66" s="30"/>
      <c r="C66" s="30"/>
      <c r="D66" s="13"/>
      <c r="E66" s="14">
        <v>6</v>
      </c>
      <c r="F66" s="15">
        <v>6.4999999999999997E-3</v>
      </c>
      <c r="G66" s="109">
        <v>6.1074000000000003E-2</v>
      </c>
    </row>
    <row r="67" spans="1:7" x14ac:dyDescent="0.35">
      <c r="A67" s="16" t="s">
        <v>102</v>
      </c>
      <c r="B67" s="31"/>
      <c r="C67" s="31"/>
      <c r="D67" s="17"/>
      <c r="E67" s="37">
        <v>6</v>
      </c>
      <c r="F67" s="38">
        <v>6.4999999999999997E-3</v>
      </c>
      <c r="G67" s="110"/>
    </row>
    <row r="68" spans="1:7" x14ac:dyDescent="0.35">
      <c r="A68" s="12"/>
      <c r="B68" s="30"/>
      <c r="C68" s="30"/>
      <c r="D68" s="13"/>
      <c r="E68" s="14"/>
      <c r="F68" s="15"/>
      <c r="G68" s="109"/>
    </row>
    <row r="69" spans="1:7" x14ac:dyDescent="0.35">
      <c r="A69" s="21" t="s">
        <v>129</v>
      </c>
      <c r="B69" s="32"/>
      <c r="C69" s="32"/>
      <c r="D69" s="22"/>
      <c r="E69" s="18">
        <v>6</v>
      </c>
      <c r="F69" s="19">
        <v>6.4999999999999997E-3</v>
      </c>
      <c r="G69" s="110"/>
    </row>
    <row r="70" spans="1:7" x14ac:dyDescent="0.35">
      <c r="A70" s="12" t="s">
        <v>132</v>
      </c>
      <c r="B70" s="30"/>
      <c r="C70" s="30"/>
      <c r="D70" s="13"/>
      <c r="E70" s="14">
        <v>1.0038E-3</v>
      </c>
      <c r="F70" s="15">
        <v>9.9999999999999995E-7</v>
      </c>
      <c r="G70" s="109"/>
    </row>
    <row r="71" spans="1:7" x14ac:dyDescent="0.35">
      <c r="A71" s="12" t="s">
        <v>133</v>
      </c>
      <c r="B71" s="30"/>
      <c r="C71" s="30"/>
      <c r="D71" s="13"/>
      <c r="E71" s="23">
        <v>-2.5710038000000002</v>
      </c>
      <c r="F71" s="24">
        <v>-2.7009999999999998E-3</v>
      </c>
      <c r="G71" s="109">
        <v>6.1074000000000003E-2</v>
      </c>
    </row>
    <row r="72" spans="1:7" x14ac:dyDescent="0.35">
      <c r="A72" s="25" t="s">
        <v>134</v>
      </c>
      <c r="B72" s="33"/>
      <c r="C72" s="33"/>
      <c r="D72" s="26"/>
      <c r="E72" s="27">
        <v>927.39</v>
      </c>
      <c r="F72" s="28">
        <v>1</v>
      </c>
      <c r="G72" s="28"/>
    </row>
    <row r="74" spans="1:7" ht="67.5" customHeight="1" x14ac:dyDescent="0.35">
      <c r="A74" s="152" t="s">
        <v>2133</v>
      </c>
      <c r="B74" s="152"/>
      <c r="C74" s="152"/>
      <c r="D74" s="152"/>
      <c r="E74" s="152"/>
      <c r="F74" s="152"/>
      <c r="G74" s="152"/>
    </row>
    <row r="77" spans="1:7" x14ac:dyDescent="0.35">
      <c r="A77" s="1" t="s">
        <v>1981</v>
      </c>
    </row>
    <row r="78" spans="1:7" x14ac:dyDescent="0.35">
      <c r="A78" s="47" t="s">
        <v>1982</v>
      </c>
      <c r="B78" s="34" t="s">
        <v>96</v>
      </c>
    </row>
    <row r="79" spans="1:7" x14ac:dyDescent="0.35">
      <c r="A79" t="s">
        <v>1983</v>
      </c>
    </row>
    <row r="80" spans="1:7" x14ac:dyDescent="0.35">
      <c r="A80" t="s">
        <v>1984</v>
      </c>
      <c r="B80" t="s">
        <v>1985</v>
      </c>
      <c r="C80" t="s">
        <v>1985</v>
      </c>
    </row>
    <row r="81" spans="1:7" x14ac:dyDescent="0.35">
      <c r="B81" s="48">
        <v>44834</v>
      </c>
      <c r="C81" s="48">
        <v>44865</v>
      </c>
    </row>
    <row r="82" spans="1:7" x14ac:dyDescent="0.35">
      <c r="A82" t="s">
        <v>1989</v>
      </c>
      <c r="B82">
        <v>9.7967999999999993</v>
      </c>
      <c r="C82">
        <v>10.3293</v>
      </c>
      <c r="E82" s="2"/>
      <c r="G82"/>
    </row>
    <row r="83" spans="1:7" x14ac:dyDescent="0.35">
      <c r="A83" t="s">
        <v>1990</v>
      </c>
      <c r="B83">
        <v>9.6611999999999991</v>
      </c>
      <c r="C83">
        <v>10.186400000000001</v>
      </c>
      <c r="E83" s="2"/>
      <c r="G83"/>
    </row>
    <row r="84" spans="1:7" x14ac:dyDescent="0.35">
      <c r="A84" t="s">
        <v>2014</v>
      </c>
      <c r="B84">
        <v>9.6107999999999993</v>
      </c>
      <c r="C84">
        <v>10.1296</v>
      </c>
      <c r="E84" s="2"/>
      <c r="G84"/>
    </row>
    <row r="85" spans="1:7" x14ac:dyDescent="0.35">
      <c r="A85" t="s">
        <v>2015</v>
      </c>
      <c r="B85">
        <v>9.6106999999999996</v>
      </c>
      <c r="C85">
        <v>10.1295</v>
      </c>
      <c r="E85" s="2"/>
      <c r="G85"/>
    </row>
    <row r="86" spans="1:7" x14ac:dyDescent="0.35">
      <c r="E86" s="2"/>
      <c r="G86"/>
    </row>
    <row r="87" spans="1:7" x14ac:dyDescent="0.35">
      <c r="A87" t="s">
        <v>2000</v>
      </c>
      <c r="B87" s="34" t="s">
        <v>96</v>
      </c>
    </row>
    <row r="88" spans="1:7" x14ac:dyDescent="0.35">
      <c r="A88" t="s">
        <v>2001</v>
      </c>
      <c r="B88" s="34" t="s">
        <v>96</v>
      </c>
    </row>
    <row r="89" spans="1:7" ht="29" x14ac:dyDescent="0.35">
      <c r="A89" s="47" t="s">
        <v>2002</v>
      </c>
      <c r="B89" s="34" t="s">
        <v>96</v>
      </c>
    </row>
    <row r="90" spans="1:7" ht="29" x14ac:dyDescent="0.35">
      <c r="A90" s="47" t="s">
        <v>2003</v>
      </c>
      <c r="B90" s="34" t="s">
        <v>96</v>
      </c>
    </row>
    <row r="91" spans="1:7" x14ac:dyDescent="0.35">
      <c r="A91" t="s">
        <v>2033</v>
      </c>
      <c r="B91" s="49">
        <v>1.225924</v>
      </c>
    </row>
    <row r="92" spans="1:7" ht="43.5" x14ac:dyDescent="0.35">
      <c r="A92" s="47" t="s">
        <v>2005</v>
      </c>
      <c r="B92" s="34" t="s">
        <v>96</v>
      </c>
    </row>
    <row r="93" spans="1:7" ht="29" x14ac:dyDescent="0.35">
      <c r="A93" s="47" t="s">
        <v>2006</v>
      </c>
      <c r="B93" s="34" t="s">
        <v>96</v>
      </c>
    </row>
    <row r="94" spans="1:7" ht="29" x14ac:dyDescent="0.35">
      <c r="A94" s="47" t="s">
        <v>2009</v>
      </c>
      <c r="B94" s="49">
        <v>168.8095898</v>
      </c>
    </row>
    <row r="95" spans="1:7" ht="29" x14ac:dyDescent="0.35">
      <c r="A95" s="47" t="s">
        <v>2135</v>
      </c>
      <c r="B95" s="34" t="s">
        <v>96</v>
      </c>
    </row>
    <row r="96" spans="1:7" ht="29" x14ac:dyDescent="0.35">
      <c r="A96" s="47" t="s">
        <v>2136</v>
      </c>
      <c r="B96" s="34" t="s">
        <v>96</v>
      </c>
    </row>
    <row r="98" spans="1:4" ht="29" x14ac:dyDescent="0.35">
      <c r="A98" s="319" t="s">
        <v>2154</v>
      </c>
      <c r="B98" s="320" t="s">
        <v>2155</v>
      </c>
      <c r="C98" s="320" t="s">
        <v>2156</v>
      </c>
      <c r="D98" s="323" t="s">
        <v>2157</v>
      </c>
    </row>
    <row r="99" spans="1:4" ht="70.5" customHeight="1" x14ac:dyDescent="0.35">
      <c r="A99" s="322" t="s">
        <v>2206</v>
      </c>
      <c r="B99" s="321"/>
      <c r="C99" s="321" t="s">
        <v>2235</v>
      </c>
      <c r="D99" s="321"/>
    </row>
  </sheetData>
  <mergeCells count="3">
    <mergeCell ref="A1:G1"/>
    <mergeCell ref="A2:G2"/>
    <mergeCell ref="A74:G7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7F39-548C-4C3A-85A0-A611F259390E}">
  <dimension ref="A1:H298"/>
  <sheetViews>
    <sheetView showGridLines="0" workbookViewId="0">
      <pane ySplit="4" topLeftCell="A298" activePane="bottomLeft" state="frozen"/>
      <selection activeCell="A2" sqref="A2:XFD2"/>
      <selection pane="bottomLeft" activeCell="C298" sqref="C298"/>
    </sheetView>
  </sheetViews>
  <sheetFormatPr defaultRowHeight="14.5" x14ac:dyDescent="0.35"/>
  <cols>
    <col min="1" max="1" width="50.453125" customWidth="1"/>
    <col min="2" max="2" width="21.7265625" customWidth="1"/>
    <col min="3" max="3" width="26.6328125" customWidth="1"/>
    <col min="4" max="4" width="21.453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67</v>
      </c>
      <c r="B1" s="151"/>
      <c r="C1" s="151"/>
      <c r="D1" s="151"/>
      <c r="E1" s="151"/>
      <c r="F1" s="151"/>
      <c r="G1" s="151"/>
      <c r="H1" s="50" t="str">
        <f>HYPERLINK("[EDEL_Portfolio Monthly Notes 31-Oct-2022.xlsx]Index!A1","Index")</f>
        <v>Index</v>
      </c>
    </row>
    <row r="2" spans="1:8" ht="31" customHeight="1" x14ac:dyDescent="0.35">
      <c r="A2" s="151" t="s">
        <v>68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863</v>
      </c>
      <c r="B8" s="30" t="s">
        <v>864</v>
      </c>
      <c r="C8" s="30" t="s">
        <v>865</v>
      </c>
      <c r="D8" s="13">
        <v>8495</v>
      </c>
      <c r="E8" s="14">
        <v>216.59</v>
      </c>
      <c r="F8" s="15">
        <v>4.7100000000000003E-2</v>
      </c>
      <c r="G8" s="15"/>
    </row>
    <row r="9" spans="1:8" x14ac:dyDescent="0.35">
      <c r="A9" s="12" t="s">
        <v>894</v>
      </c>
      <c r="B9" s="30" t="s">
        <v>895</v>
      </c>
      <c r="C9" s="30" t="s">
        <v>862</v>
      </c>
      <c r="D9" s="13">
        <v>10833</v>
      </c>
      <c r="E9" s="14">
        <v>162.13999999999999</v>
      </c>
      <c r="F9" s="15">
        <v>3.5299999999999998E-2</v>
      </c>
      <c r="G9" s="15"/>
    </row>
    <row r="10" spans="1:8" x14ac:dyDescent="0.35">
      <c r="A10" s="12" t="s">
        <v>889</v>
      </c>
      <c r="B10" s="30" t="s">
        <v>890</v>
      </c>
      <c r="C10" s="30" t="s">
        <v>862</v>
      </c>
      <c r="D10" s="13">
        <v>17154</v>
      </c>
      <c r="E10" s="14">
        <v>155.88</v>
      </c>
      <c r="F10" s="15">
        <v>3.39E-2</v>
      </c>
      <c r="G10" s="15"/>
    </row>
    <row r="11" spans="1:8" x14ac:dyDescent="0.35">
      <c r="A11" s="12" t="s">
        <v>975</v>
      </c>
      <c r="B11" s="30" t="s">
        <v>976</v>
      </c>
      <c r="C11" s="30" t="s">
        <v>911</v>
      </c>
      <c r="D11" s="13">
        <v>9013</v>
      </c>
      <c r="E11" s="14">
        <v>138.59</v>
      </c>
      <c r="F11" s="15">
        <v>3.0200000000000001E-2</v>
      </c>
      <c r="G11" s="15"/>
    </row>
    <row r="12" spans="1:8" x14ac:dyDescent="0.35">
      <c r="A12" s="12" t="s">
        <v>883</v>
      </c>
      <c r="B12" s="30" t="s">
        <v>884</v>
      </c>
      <c r="C12" s="30" t="s">
        <v>885</v>
      </c>
      <c r="D12" s="13">
        <v>4465</v>
      </c>
      <c r="E12" s="14">
        <v>110.28</v>
      </c>
      <c r="F12" s="15">
        <v>2.4E-2</v>
      </c>
      <c r="G12" s="15"/>
    </row>
    <row r="13" spans="1:8" x14ac:dyDescent="0.35">
      <c r="A13" s="12" t="s">
        <v>918</v>
      </c>
      <c r="B13" s="30" t="s">
        <v>919</v>
      </c>
      <c r="C13" s="30" t="s">
        <v>911</v>
      </c>
      <c r="D13" s="13">
        <v>2522</v>
      </c>
      <c r="E13" s="14">
        <v>80.53</v>
      </c>
      <c r="F13" s="15">
        <v>1.7500000000000002E-2</v>
      </c>
      <c r="G13" s="15"/>
    </row>
    <row r="14" spans="1:8" x14ac:dyDescent="0.35">
      <c r="A14" s="12" t="s">
        <v>948</v>
      </c>
      <c r="B14" s="30" t="s">
        <v>949</v>
      </c>
      <c r="C14" s="30" t="s">
        <v>950</v>
      </c>
      <c r="D14" s="13">
        <v>21674</v>
      </c>
      <c r="E14" s="14">
        <v>75.58</v>
      </c>
      <c r="F14" s="15">
        <v>1.6400000000000001E-2</v>
      </c>
      <c r="G14" s="15"/>
    </row>
    <row r="15" spans="1:8" x14ac:dyDescent="0.35">
      <c r="A15" s="12" t="s">
        <v>860</v>
      </c>
      <c r="B15" s="30" t="s">
        <v>861</v>
      </c>
      <c r="C15" s="30" t="s">
        <v>862</v>
      </c>
      <c r="D15" s="13">
        <v>3618</v>
      </c>
      <c r="E15" s="14">
        <v>68.81</v>
      </c>
      <c r="F15" s="15">
        <v>1.4999999999999999E-2</v>
      </c>
      <c r="G15" s="15"/>
    </row>
    <row r="16" spans="1:8" x14ac:dyDescent="0.35">
      <c r="A16" s="12" t="s">
        <v>1020</v>
      </c>
      <c r="B16" s="30" t="s">
        <v>1021</v>
      </c>
      <c r="C16" s="30" t="s">
        <v>1022</v>
      </c>
      <c r="D16" s="13">
        <v>2975</v>
      </c>
      <c r="E16" s="14">
        <v>60.19</v>
      </c>
      <c r="F16" s="15">
        <v>1.3100000000000001E-2</v>
      </c>
      <c r="G16" s="15"/>
    </row>
    <row r="17" spans="1:7" x14ac:dyDescent="0.35">
      <c r="A17" s="12" t="s">
        <v>916</v>
      </c>
      <c r="B17" s="30" t="s">
        <v>917</v>
      </c>
      <c r="C17" s="30" t="s">
        <v>862</v>
      </c>
      <c r="D17" s="13">
        <v>6504</v>
      </c>
      <c r="E17" s="14">
        <v>58.93</v>
      </c>
      <c r="F17" s="15">
        <v>1.2800000000000001E-2</v>
      </c>
      <c r="G17" s="15"/>
    </row>
    <row r="18" spans="1:7" x14ac:dyDescent="0.35">
      <c r="A18" s="12" t="s">
        <v>1143</v>
      </c>
      <c r="B18" s="30" t="s">
        <v>1144</v>
      </c>
      <c r="C18" s="30" t="s">
        <v>950</v>
      </c>
      <c r="D18" s="13">
        <v>2198</v>
      </c>
      <c r="E18" s="14">
        <v>56.06</v>
      </c>
      <c r="F18" s="15">
        <v>1.2200000000000001E-2</v>
      </c>
      <c r="G18" s="15"/>
    </row>
    <row r="19" spans="1:7" x14ac:dyDescent="0.35">
      <c r="A19" s="12" t="s">
        <v>961</v>
      </c>
      <c r="B19" s="30" t="s">
        <v>962</v>
      </c>
      <c r="C19" s="30" t="s">
        <v>862</v>
      </c>
      <c r="D19" s="13">
        <v>9448</v>
      </c>
      <c r="E19" s="14">
        <v>54.21</v>
      </c>
      <c r="F19" s="15">
        <v>1.18E-2</v>
      </c>
      <c r="G19" s="15"/>
    </row>
    <row r="20" spans="1:7" x14ac:dyDescent="0.35">
      <c r="A20" s="12" t="s">
        <v>1440</v>
      </c>
      <c r="B20" s="30" t="s">
        <v>1456</v>
      </c>
      <c r="C20" s="30" t="s">
        <v>988</v>
      </c>
      <c r="D20" s="13">
        <v>6027</v>
      </c>
      <c r="E20" s="14">
        <v>50.14</v>
      </c>
      <c r="F20" s="15">
        <v>1.09E-2</v>
      </c>
      <c r="G20" s="15"/>
    </row>
    <row r="21" spans="1:7" x14ac:dyDescent="0.35">
      <c r="A21" s="12" t="s">
        <v>959</v>
      </c>
      <c r="B21" s="30" t="s">
        <v>960</v>
      </c>
      <c r="C21" s="30" t="s">
        <v>885</v>
      </c>
      <c r="D21" s="13">
        <v>656</v>
      </c>
      <c r="E21" s="14">
        <v>46.87</v>
      </c>
      <c r="F21" s="15">
        <v>1.0200000000000001E-2</v>
      </c>
      <c r="G21" s="15"/>
    </row>
    <row r="22" spans="1:7" x14ac:dyDescent="0.35">
      <c r="A22" s="12" t="s">
        <v>1046</v>
      </c>
      <c r="B22" s="30" t="s">
        <v>1047</v>
      </c>
      <c r="C22" s="30" t="s">
        <v>1048</v>
      </c>
      <c r="D22" s="13">
        <v>2887</v>
      </c>
      <c r="E22" s="14">
        <v>44.11</v>
      </c>
      <c r="F22" s="15">
        <v>9.5999999999999992E-3</v>
      </c>
      <c r="G22" s="15"/>
    </row>
    <row r="23" spans="1:7" x14ac:dyDescent="0.35">
      <c r="A23" s="12" t="s">
        <v>1197</v>
      </c>
      <c r="B23" s="30" t="s">
        <v>1198</v>
      </c>
      <c r="C23" s="30" t="s">
        <v>1199</v>
      </c>
      <c r="D23" s="13">
        <v>78</v>
      </c>
      <c r="E23" s="14">
        <v>38.82</v>
      </c>
      <c r="F23" s="15">
        <v>8.3999999999999995E-3</v>
      </c>
      <c r="G23" s="15"/>
    </row>
    <row r="24" spans="1:7" x14ac:dyDescent="0.35">
      <c r="A24" s="12" t="s">
        <v>1026</v>
      </c>
      <c r="B24" s="30" t="s">
        <v>1027</v>
      </c>
      <c r="C24" s="30" t="s">
        <v>974</v>
      </c>
      <c r="D24" s="13">
        <v>11351</v>
      </c>
      <c r="E24" s="14">
        <v>37.89</v>
      </c>
      <c r="F24" s="15">
        <v>8.2000000000000007E-3</v>
      </c>
      <c r="G24" s="15"/>
    </row>
    <row r="25" spans="1:7" x14ac:dyDescent="0.35">
      <c r="A25" s="12" t="s">
        <v>1679</v>
      </c>
      <c r="B25" s="30" t="s">
        <v>1680</v>
      </c>
      <c r="C25" s="30" t="s">
        <v>953</v>
      </c>
      <c r="D25" s="13">
        <v>1343</v>
      </c>
      <c r="E25" s="14">
        <v>36.840000000000003</v>
      </c>
      <c r="F25" s="15">
        <v>8.0000000000000002E-3</v>
      </c>
      <c r="G25" s="15"/>
    </row>
    <row r="26" spans="1:7" x14ac:dyDescent="0.35">
      <c r="A26" s="12" t="s">
        <v>1681</v>
      </c>
      <c r="B26" s="30" t="s">
        <v>1682</v>
      </c>
      <c r="C26" s="30" t="s">
        <v>862</v>
      </c>
      <c r="D26" s="13">
        <v>6090</v>
      </c>
      <c r="E26" s="14">
        <v>35.9</v>
      </c>
      <c r="F26" s="15">
        <v>7.7999999999999996E-3</v>
      </c>
      <c r="G26" s="15"/>
    </row>
    <row r="27" spans="1:7" x14ac:dyDescent="0.35">
      <c r="A27" s="12" t="s">
        <v>1116</v>
      </c>
      <c r="B27" s="30" t="s">
        <v>1117</v>
      </c>
      <c r="C27" s="30" t="s">
        <v>958</v>
      </c>
      <c r="D27" s="13">
        <v>1110</v>
      </c>
      <c r="E27" s="14">
        <v>34.5</v>
      </c>
      <c r="F27" s="15">
        <v>7.4999999999999997E-3</v>
      </c>
      <c r="G27" s="15"/>
    </row>
    <row r="28" spans="1:7" x14ac:dyDescent="0.35">
      <c r="A28" s="12" t="s">
        <v>1110</v>
      </c>
      <c r="B28" s="30" t="s">
        <v>1111</v>
      </c>
      <c r="C28" s="30" t="s">
        <v>898</v>
      </c>
      <c r="D28" s="13">
        <v>3000</v>
      </c>
      <c r="E28" s="14">
        <v>34.380000000000003</v>
      </c>
      <c r="F28" s="15">
        <v>7.4999999999999997E-3</v>
      </c>
      <c r="G28" s="15"/>
    </row>
    <row r="29" spans="1:7" x14ac:dyDescent="0.35">
      <c r="A29" s="12" t="s">
        <v>1077</v>
      </c>
      <c r="B29" s="30" t="s">
        <v>1078</v>
      </c>
      <c r="C29" s="30" t="s">
        <v>862</v>
      </c>
      <c r="D29" s="13">
        <v>25839</v>
      </c>
      <c r="E29" s="14">
        <v>33.979999999999997</v>
      </c>
      <c r="F29" s="15">
        <v>7.4000000000000003E-3</v>
      </c>
      <c r="G29" s="15"/>
    </row>
    <row r="30" spans="1:7" x14ac:dyDescent="0.35">
      <c r="A30" s="12" t="s">
        <v>1124</v>
      </c>
      <c r="B30" s="30" t="s">
        <v>1125</v>
      </c>
      <c r="C30" s="30" t="s">
        <v>898</v>
      </c>
      <c r="D30" s="13">
        <v>2357</v>
      </c>
      <c r="E30" s="14">
        <v>31.79</v>
      </c>
      <c r="F30" s="15">
        <v>6.8999999999999999E-3</v>
      </c>
      <c r="G30" s="15"/>
    </row>
    <row r="31" spans="1:7" x14ac:dyDescent="0.35">
      <c r="A31" s="12" t="s">
        <v>1683</v>
      </c>
      <c r="B31" s="30" t="s">
        <v>1684</v>
      </c>
      <c r="C31" s="30" t="s">
        <v>893</v>
      </c>
      <c r="D31" s="13">
        <v>3014</v>
      </c>
      <c r="E31" s="14">
        <v>31.62</v>
      </c>
      <c r="F31" s="15">
        <v>6.8999999999999999E-3</v>
      </c>
      <c r="G31" s="15"/>
    </row>
    <row r="32" spans="1:7" x14ac:dyDescent="0.35">
      <c r="A32" s="12" t="s">
        <v>1432</v>
      </c>
      <c r="B32" s="30" t="s">
        <v>1433</v>
      </c>
      <c r="C32" s="30" t="s">
        <v>911</v>
      </c>
      <c r="D32" s="13">
        <v>449</v>
      </c>
      <c r="E32" s="14">
        <v>31.41</v>
      </c>
      <c r="F32" s="15">
        <v>6.7999999999999996E-3</v>
      </c>
      <c r="G32" s="15"/>
    </row>
    <row r="33" spans="1:7" x14ac:dyDescent="0.35">
      <c r="A33" s="12" t="s">
        <v>880</v>
      </c>
      <c r="B33" s="30" t="s">
        <v>881</v>
      </c>
      <c r="C33" s="30" t="s">
        <v>882</v>
      </c>
      <c r="D33" s="13">
        <v>11885</v>
      </c>
      <c r="E33" s="14">
        <v>31.19</v>
      </c>
      <c r="F33" s="15">
        <v>6.7999999999999996E-3</v>
      </c>
      <c r="G33" s="15"/>
    </row>
    <row r="34" spans="1:7" x14ac:dyDescent="0.35">
      <c r="A34" s="12" t="s">
        <v>896</v>
      </c>
      <c r="B34" s="30" t="s">
        <v>897</v>
      </c>
      <c r="C34" s="30" t="s">
        <v>898</v>
      </c>
      <c r="D34" s="13">
        <v>327</v>
      </c>
      <c r="E34" s="14">
        <v>31.16</v>
      </c>
      <c r="F34" s="15">
        <v>6.7999999999999996E-3</v>
      </c>
      <c r="G34" s="15"/>
    </row>
    <row r="35" spans="1:7" x14ac:dyDescent="0.35">
      <c r="A35" s="12" t="s">
        <v>1685</v>
      </c>
      <c r="B35" s="30" t="s">
        <v>1686</v>
      </c>
      <c r="C35" s="30" t="s">
        <v>885</v>
      </c>
      <c r="D35" s="13">
        <v>2476</v>
      </c>
      <c r="E35" s="14">
        <v>30.43</v>
      </c>
      <c r="F35" s="15">
        <v>6.6E-3</v>
      </c>
      <c r="G35" s="15"/>
    </row>
    <row r="36" spans="1:7" x14ac:dyDescent="0.35">
      <c r="A36" s="12" t="s">
        <v>1167</v>
      </c>
      <c r="B36" s="30" t="s">
        <v>1168</v>
      </c>
      <c r="C36" s="30" t="s">
        <v>974</v>
      </c>
      <c r="D36" s="13">
        <v>4933</v>
      </c>
      <c r="E36" s="14">
        <v>30.09</v>
      </c>
      <c r="F36" s="15">
        <v>6.4999999999999997E-3</v>
      </c>
      <c r="G36" s="15"/>
    </row>
    <row r="37" spans="1:7" x14ac:dyDescent="0.35">
      <c r="A37" s="12" t="s">
        <v>866</v>
      </c>
      <c r="B37" s="30" t="s">
        <v>867</v>
      </c>
      <c r="C37" s="30" t="s">
        <v>868</v>
      </c>
      <c r="D37" s="13">
        <v>18540</v>
      </c>
      <c r="E37" s="14">
        <v>28.42</v>
      </c>
      <c r="F37" s="15">
        <v>6.1999999999999998E-3</v>
      </c>
      <c r="G37" s="15"/>
    </row>
    <row r="38" spans="1:7" x14ac:dyDescent="0.35">
      <c r="A38" s="12" t="s">
        <v>1016</v>
      </c>
      <c r="B38" s="30" t="s">
        <v>1017</v>
      </c>
      <c r="C38" s="30" t="s">
        <v>958</v>
      </c>
      <c r="D38" s="13">
        <v>1027</v>
      </c>
      <c r="E38" s="14">
        <v>28.36</v>
      </c>
      <c r="F38" s="15">
        <v>6.1999999999999998E-3</v>
      </c>
      <c r="G38" s="15"/>
    </row>
    <row r="39" spans="1:7" x14ac:dyDescent="0.35">
      <c r="A39" s="12" t="s">
        <v>1032</v>
      </c>
      <c r="B39" s="30" t="s">
        <v>1033</v>
      </c>
      <c r="C39" s="30" t="s">
        <v>922</v>
      </c>
      <c r="D39" s="13">
        <v>3534</v>
      </c>
      <c r="E39" s="14">
        <v>28.2</v>
      </c>
      <c r="F39" s="15">
        <v>6.1000000000000004E-3</v>
      </c>
      <c r="G39" s="15"/>
    </row>
    <row r="40" spans="1:7" x14ac:dyDescent="0.35">
      <c r="A40" s="12" t="s">
        <v>1530</v>
      </c>
      <c r="B40" s="30" t="s">
        <v>1531</v>
      </c>
      <c r="C40" s="30" t="s">
        <v>1057</v>
      </c>
      <c r="D40" s="13">
        <v>6124</v>
      </c>
      <c r="E40" s="14">
        <v>27.94</v>
      </c>
      <c r="F40" s="15">
        <v>6.1000000000000004E-3</v>
      </c>
      <c r="G40" s="15"/>
    </row>
    <row r="41" spans="1:7" x14ac:dyDescent="0.35">
      <c r="A41" s="12" t="s">
        <v>1180</v>
      </c>
      <c r="B41" s="30" t="s">
        <v>1181</v>
      </c>
      <c r="C41" s="30" t="s">
        <v>958</v>
      </c>
      <c r="D41" s="13">
        <v>7703</v>
      </c>
      <c r="E41" s="14">
        <v>27.91</v>
      </c>
      <c r="F41" s="15">
        <v>6.1000000000000004E-3</v>
      </c>
      <c r="G41" s="15"/>
    </row>
    <row r="42" spans="1:7" x14ac:dyDescent="0.35">
      <c r="A42" s="12" t="s">
        <v>1178</v>
      </c>
      <c r="B42" s="30" t="s">
        <v>1179</v>
      </c>
      <c r="C42" s="30" t="s">
        <v>940</v>
      </c>
      <c r="D42" s="13">
        <v>3301</v>
      </c>
      <c r="E42" s="14">
        <v>27.54</v>
      </c>
      <c r="F42" s="15">
        <v>6.0000000000000001E-3</v>
      </c>
      <c r="G42" s="15"/>
    </row>
    <row r="43" spans="1:7" x14ac:dyDescent="0.35">
      <c r="A43" s="12" t="s">
        <v>909</v>
      </c>
      <c r="B43" s="30" t="s">
        <v>910</v>
      </c>
      <c r="C43" s="30" t="s">
        <v>911</v>
      </c>
      <c r="D43" s="13">
        <v>2606</v>
      </c>
      <c r="E43" s="14">
        <v>27.13</v>
      </c>
      <c r="F43" s="15">
        <v>5.8999999999999999E-3</v>
      </c>
      <c r="G43" s="15"/>
    </row>
    <row r="44" spans="1:7" x14ac:dyDescent="0.35">
      <c r="A44" s="12" t="s">
        <v>1042</v>
      </c>
      <c r="B44" s="30" t="s">
        <v>1043</v>
      </c>
      <c r="C44" s="30" t="s">
        <v>943</v>
      </c>
      <c r="D44" s="13">
        <v>2658</v>
      </c>
      <c r="E44" s="14">
        <v>27.03</v>
      </c>
      <c r="F44" s="15">
        <v>5.8999999999999999E-3</v>
      </c>
      <c r="G44" s="15"/>
    </row>
    <row r="45" spans="1:7" x14ac:dyDescent="0.35">
      <c r="A45" s="12" t="s">
        <v>991</v>
      </c>
      <c r="B45" s="30" t="s">
        <v>992</v>
      </c>
      <c r="C45" s="30" t="s">
        <v>958</v>
      </c>
      <c r="D45" s="13">
        <v>2985</v>
      </c>
      <c r="E45" s="14">
        <v>26.15</v>
      </c>
      <c r="F45" s="15">
        <v>5.7000000000000002E-3</v>
      </c>
      <c r="G45" s="15"/>
    </row>
    <row r="46" spans="1:7" x14ac:dyDescent="0.35">
      <c r="A46" s="12" t="s">
        <v>1678</v>
      </c>
      <c r="B46" s="30" t="s">
        <v>1687</v>
      </c>
      <c r="C46" s="30" t="s">
        <v>862</v>
      </c>
      <c r="D46" s="13">
        <v>164696</v>
      </c>
      <c r="E46" s="14">
        <v>25.61</v>
      </c>
      <c r="F46" s="15">
        <v>5.5999999999999999E-3</v>
      </c>
      <c r="G46" s="15"/>
    </row>
    <row r="47" spans="1:7" x14ac:dyDescent="0.35">
      <c r="A47" s="12" t="s">
        <v>1401</v>
      </c>
      <c r="B47" s="30" t="s">
        <v>1402</v>
      </c>
      <c r="C47" s="30" t="s">
        <v>885</v>
      </c>
      <c r="D47" s="13">
        <v>1490</v>
      </c>
      <c r="E47" s="14">
        <v>25.14</v>
      </c>
      <c r="F47" s="15">
        <v>5.4999999999999997E-3</v>
      </c>
      <c r="G47" s="15"/>
    </row>
    <row r="48" spans="1:7" x14ac:dyDescent="0.35">
      <c r="A48" s="12" t="s">
        <v>954</v>
      </c>
      <c r="B48" s="30" t="s">
        <v>955</v>
      </c>
      <c r="C48" s="30" t="s">
        <v>862</v>
      </c>
      <c r="D48" s="13">
        <v>8651</v>
      </c>
      <c r="E48" s="14">
        <v>25.12</v>
      </c>
      <c r="F48" s="15">
        <v>5.4999999999999997E-3</v>
      </c>
      <c r="G48" s="15"/>
    </row>
    <row r="49" spans="1:7" x14ac:dyDescent="0.35">
      <c r="A49" s="12" t="s">
        <v>1688</v>
      </c>
      <c r="B49" s="30" t="s">
        <v>1689</v>
      </c>
      <c r="C49" s="30" t="s">
        <v>953</v>
      </c>
      <c r="D49" s="13">
        <v>27</v>
      </c>
      <c r="E49" s="14">
        <v>24.51</v>
      </c>
      <c r="F49" s="15">
        <v>5.3E-3</v>
      </c>
      <c r="G49" s="15"/>
    </row>
    <row r="50" spans="1:7" x14ac:dyDescent="0.35">
      <c r="A50" s="12" t="s">
        <v>1690</v>
      </c>
      <c r="B50" s="30" t="s">
        <v>1691</v>
      </c>
      <c r="C50" s="30" t="s">
        <v>995</v>
      </c>
      <c r="D50" s="13">
        <v>677</v>
      </c>
      <c r="E50" s="14">
        <v>24.39</v>
      </c>
      <c r="F50" s="15">
        <v>5.3E-3</v>
      </c>
      <c r="G50" s="15"/>
    </row>
    <row r="51" spans="1:7" x14ac:dyDescent="0.35">
      <c r="A51" s="12" t="s">
        <v>1102</v>
      </c>
      <c r="B51" s="30" t="s">
        <v>1103</v>
      </c>
      <c r="C51" s="30" t="s">
        <v>911</v>
      </c>
      <c r="D51" s="13">
        <v>650</v>
      </c>
      <c r="E51" s="14">
        <v>24</v>
      </c>
      <c r="F51" s="15">
        <v>5.1999999999999998E-3</v>
      </c>
      <c r="G51" s="15"/>
    </row>
    <row r="52" spans="1:7" x14ac:dyDescent="0.35">
      <c r="A52" s="12" t="s">
        <v>938</v>
      </c>
      <c r="B52" s="30" t="s">
        <v>939</v>
      </c>
      <c r="C52" s="30" t="s">
        <v>940</v>
      </c>
      <c r="D52" s="13">
        <v>1751</v>
      </c>
      <c r="E52" s="14">
        <v>23.6</v>
      </c>
      <c r="F52" s="15">
        <v>5.1000000000000004E-3</v>
      </c>
      <c r="G52" s="15"/>
    </row>
    <row r="53" spans="1:7" x14ac:dyDescent="0.35">
      <c r="A53" s="12" t="s">
        <v>1133</v>
      </c>
      <c r="B53" s="30" t="s">
        <v>1134</v>
      </c>
      <c r="C53" s="30" t="s">
        <v>971</v>
      </c>
      <c r="D53" s="13">
        <v>5128</v>
      </c>
      <c r="E53" s="14">
        <v>23.58</v>
      </c>
      <c r="F53" s="15">
        <v>5.1000000000000004E-3</v>
      </c>
      <c r="G53" s="15"/>
    </row>
    <row r="54" spans="1:7" x14ac:dyDescent="0.35">
      <c r="A54" s="12" t="s">
        <v>1089</v>
      </c>
      <c r="B54" s="30" t="s">
        <v>1090</v>
      </c>
      <c r="C54" s="30" t="s">
        <v>940</v>
      </c>
      <c r="D54" s="13">
        <v>1139</v>
      </c>
      <c r="E54" s="14">
        <v>23.13</v>
      </c>
      <c r="F54" s="15">
        <v>5.0000000000000001E-3</v>
      </c>
      <c r="G54" s="15"/>
    </row>
    <row r="55" spans="1:7" x14ac:dyDescent="0.35">
      <c r="A55" s="12" t="s">
        <v>929</v>
      </c>
      <c r="B55" s="30" t="s">
        <v>930</v>
      </c>
      <c r="C55" s="30" t="s">
        <v>931</v>
      </c>
      <c r="D55" s="13">
        <v>2036</v>
      </c>
      <c r="E55" s="14">
        <v>23.06</v>
      </c>
      <c r="F55" s="15">
        <v>5.0000000000000001E-3</v>
      </c>
      <c r="G55" s="15"/>
    </row>
    <row r="56" spans="1:7" x14ac:dyDescent="0.35">
      <c r="A56" s="12" t="s">
        <v>1692</v>
      </c>
      <c r="B56" s="30" t="s">
        <v>1693</v>
      </c>
      <c r="C56" s="30" t="s">
        <v>901</v>
      </c>
      <c r="D56" s="13">
        <v>687</v>
      </c>
      <c r="E56" s="14">
        <v>23.01</v>
      </c>
      <c r="F56" s="15">
        <v>5.0000000000000001E-3</v>
      </c>
      <c r="G56" s="15"/>
    </row>
    <row r="57" spans="1:7" x14ac:dyDescent="0.35">
      <c r="A57" s="12" t="s">
        <v>1063</v>
      </c>
      <c r="B57" s="30" t="s">
        <v>1064</v>
      </c>
      <c r="C57" s="30" t="s">
        <v>943</v>
      </c>
      <c r="D57" s="13">
        <v>5056</v>
      </c>
      <c r="E57" s="14">
        <v>22.98</v>
      </c>
      <c r="F57" s="15">
        <v>5.0000000000000001E-3</v>
      </c>
      <c r="G57" s="15"/>
    </row>
    <row r="58" spans="1:7" x14ac:dyDescent="0.35">
      <c r="A58" s="12" t="s">
        <v>869</v>
      </c>
      <c r="B58" s="30" t="s">
        <v>870</v>
      </c>
      <c r="C58" s="30" t="s">
        <v>871</v>
      </c>
      <c r="D58" s="13">
        <v>674</v>
      </c>
      <c r="E58" s="14">
        <v>22.56</v>
      </c>
      <c r="F58" s="15">
        <v>4.8999999999999998E-3</v>
      </c>
      <c r="G58" s="15"/>
    </row>
    <row r="59" spans="1:7" x14ac:dyDescent="0.35">
      <c r="A59" s="12" t="s">
        <v>1081</v>
      </c>
      <c r="B59" s="30" t="s">
        <v>1082</v>
      </c>
      <c r="C59" s="30" t="s">
        <v>862</v>
      </c>
      <c r="D59" s="13">
        <v>40086</v>
      </c>
      <c r="E59" s="14">
        <v>22.49</v>
      </c>
      <c r="F59" s="15">
        <v>4.8999999999999998E-3</v>
      </c>
      <c r="G59" s="15"/>
    </row>
    <row r="60" spans="1:7" x14ac:dyDescent="0.35">
      <c r="A60" s="12" t="s">
        <v>1694</v>
      </c>
      <c r="B60" s="30" t="s">
        <v>1695</v>
      </c>
      <c r="C60" s="30" t="s">
        <v>931</v>
      </c>
      <c r="D60" s="13">
        <v>949</v>
      </c>
      <c r="E60" s="14">
        <v>21.96</v>
      </c>
      <c r="F60" s="15">
        <v>4.7999999999999996E-3</v>
      </c>
      <c r="G60" s="15"/>
    </row>
    <row r="61" spans="1:7" x14ac:dyDescent="0.35">
      <c r="A61" s="12" t="s">
        <v>1139</v>
      </c>
      <c r="B61" s="30" t="s">
        <v>1140</v>
      </c>
      <c r="C61" s="30" t="s">
        <v>943</v>
      </c>
      <c r="D61" s="13">
        <v>3106</v>
      </c>
      <c r="E61" s="14">
        <v>21.71</v>
      </c>
      <c r="F61" s="15">
        <v>4.7000000000000002E-3</v>
      </c>
      <c r="G61" s="15"/>
    </row>
    <row r="62" spans="1:7" x14ac:dyDescent="0.35">
      <c r="A62" s="12" t="s">
        <v>1547</v>
      </c>
      <c r="B62" s="30" t="s">
        <v>1548</v>
      </c>
      <c r="C62" s="30" t="s">
        <v>958</v>
      </c>
      <c r="D62" s="13">
        <v>474</v>
      </c>
      <c r="E62" s="14">
        <v>21.41</v>
      </c>
      <c r="F62" s="15">
        <v>4.7000000000000002E-3</v>
      </c>
      <c r="G62" s="15"/>
    </row>
    <row r="63" spans="1:7" x14ac:dyDescent="0.35">
      <c r="A63" s="12" t="s">
        <v>1696</v>
      </c>
      <c r="B63" s="30" t="s">
        <v>1697</v>
      </c>
      <c r="C63" s="30" t="s">
        <v>934</v>
      </c>
      <c r="D63" s="13">
        <v>8070</v>
      </c>
      <c r="E63" s="14">
        <v>20.98</v>
      </c>
      <c r="F63" s="15">
        <v>4.5999999999999999E-3</v>
      </c>
      <c r="G63" s="15"/>
    </row>
    <row r="64" spans="1:7" x14ac:dyDescent="0.35">
      <c r="A64" s="12" t="s">
        <v>1091</v>
      </c>
      <c r="B64" s="30" t="s">
        <v>1092</v>
      </c>
      <c r="C64" s="30" t="s">
        <v>934</v>
      </c>
      <c r="D64" s="13">
        <v>683</v>
      </c>
      <c r="E64" s="14">
        <v>20.83</v>
      </c>
      <c r="F64" s="15">
        <v>4.4999999999999997E-3</v>
      </c>
      <c r="G64" s="15"/>
    </row>
    <row r="65" spans="1:7" x14ac:dyDescent="0.35">
      <c r="A65" s="12" t="s">
        <v>1698</v>
      </c>
      <c r="B65" s="30" t="s">
        <v>1699</v>
      </c>
      <c r="C65" s="30" t="s">
        <v>885</v>
      </c>
      <c r="D65" s="13">
        <v>874</v>
      </c>
      <c r="E65" s="14">
        <v>20.55</v>
      </c>
      <c r="F65" s="15">
        <v>4.4999999999999997E-3</v>
      </c>
      <c r="G65" s="15"/>
    </row>
    <row r="66" spans="1:7" x14ac:dyDescent="0.35">
      <c r="A66" s="12" t="s">
        <v>1157</v>
      </c>
      <c r="B66" s="30" t="s">
        <v>1158</v>
      </c>
      <c r="C66" s="30" t="s">
        <v>953</v>
      </c>
      <c r="D66" s="13">
        <v>1046</v>
      </c>
      <c r="E66" s="14">
        <v>20.53</v>
      </c>
      <c r="F66" s="15">
        <v>4.4999999999999997E-3</v>
      </c>
      <c r="G66" s="15"/>
    </row>
    <row r="67" spans="1:7" x14ac:dyDescent="0.35">
      <c r="A67" s="12" t="s">
        <v>1087</v>
      </c>
      <c r="B67" s="30" t="s">
        <v>1088</v>
      </c>
      <c r="C67" s="30" t="s">
        <v>931</v>
      </c>
      <c r="D67" s="13">
        <v>447</v>
      </c>
      <c r="E67" s="14">
        <v>20.350000000000001</v>
      </c>
      <c r="F67" s="15">
        <v>4.4000000000000003E-3</v>
      </c>
      <c r="G67" s="15"/>
    </row>
    <row r="68" spans="1:7" x14ac:dyDescent="0.35">
      <c r="A68" s="12" t="s">
        <v>1169</v>
      </c>
      <c r="B68" s="30" t="s">
        <v>1170</v>
      </c>
      <c r="C68" s="30" t="s">
        <v>901</v>
      </c>
      <c r="D68" s="13">
        <v>11698</v>
      </c>
      <c r="E68" s="14">
        <v>20.25</v>
      </c>
      <c r="F68" s="15">
        <v>4.4000000000000003E-3</v>
      </c>
      <c r="G68" s="15"/>
    </row>
    <row r="69" spans="1:7" x14ac:dyDescent="0.35">
      <c r="A69" s="12" t="s">
        <v>1532</v>
      </c>
      <c r="B69" s="30" t="s">
        <v>1533</v>
      </c>
      <c r="C69" s="30" t="s">
        <v>940</v>
      </c>
      <c r="D69" s="13">
        <v>1871</v>
      </c>
      <c r="E69" s="14">
        <v>20.190000000000001</v>
      </c>
      <c r="F69" s="15">
        <v>4.4000000000000003E-3</v>
      </c>
      <c r="G69" s="15"/>
    </row>
    <row r="70" spans="1:7" x14ac:dyDescent="0.35">
      <c r="A70" s="12" t="s">
        <v>1171</v>
      </c>
      <c r="B70" s="30" t="s">
        <v>1172</v>
      </c>
      <c r="C70" s="30" t="s">
        <v>971</v>
      </c>
      <c r="D70" s="13">
        <v>19858</v>
      </c>
      <c r="E70" s="14">
        <v>20.170000000000002</v>
      </c>
      <c r="F70" s="15">
        <v>4.4000000000000003E-3</v>
      </c>
      <c r="G70" s="15"/>
    </row>
    <row r="71" spans="1:7" x14ac:dyDescent="0.35">
      <c r="A71" s="12" t="s">
        <v>1187</v>
      </c>
      <c r="B71" s="30" t="s">
        <v>1188</v>
      </c>
      <c r="C71" s="30" t="s">
        <v>943</v>
      </c>
      <c r="D71" s="13">
        <v>632</v>
      </c>
      <c r="E71" s="14">
        <v>19.940000000000001</v>
      </c>
      <c r="F71" s="15">
        <v>4.3E-3</v>
      </c>
      <c r="G71" s="15"/>
    </row>
    <row r="72" spans="1:7" x14ac:dyDescent="0.35">
      <c r="A72" s="12" t="s">
        <v>1129</v>
      </c>
      <c r="B72" s="30" t="s">
        <v>1130</v>
      </c>
      <c r="C72" s="30" t="s">
        <v>995</v>
      </c>
      <c r="D72" s="13">
        <v>9667</v>
      </c>
      <c r="E72" s="14">
        <v>19.87</v>
      </c>
      <c r="F72" s="15">
        <v>4.3E-3</v>
      </c>
      <c r="G72" s="15"/>
    </row>
    <row r="73" spans="1:7" x14ac:dyDescent="0.35">
      <c r="A73" s="12" t="s">
        <v>1120</v>
      </c>
      <c r="B73" s="30" t="s">
        <v>1121</v>
      </c>
      <c r="C73" s="30" t="s">
        <v>983</v>
      </c>
      <c r="D73" s="13">
        <v>2802</v>
      </c>
      <c r="E73" s="14">
        <v>19.84</v>
      </c>
      <c r="F73" s="15">
        <v>4.3E-3</v>
      </c>
      <c r="G73" s="15"/>
    </row>
    <row r="74" spans="1:7" x14ac:dyDescent="0.35">
      <c r="A74" s="12" t="s">
        <v>998</v>
      </c>
      <c r="B74" s="30" t="s">
        <v>999</v>
      </c>
      <c r="C74" s="30" t="s">
        <v>943</v>
      </c>
      <c r="D74" s="13">
        <v>3625</v>
      </c>
      <c r="E74" s="14">
        <v>19.510000000000002</v>
      </c>
      <c r="F74" s="15">
        <v>4.1999999999999997E-3</v>
      </c>
      <c r="G74" s="15"/>
    </row>
    <row r="75" spans="1:7" x14ac:dyDescent="0.35">
      <c r="A75" s="12" t="s">
        <v>993</v>
      </c>
      <c r="B75" s="30" t="s">
        <v>994</v>
      </c>
      <c r="C75" s="30" t="s">
        <v>995</v>
      </c>
      <c r="D75" s="13">
        <v>4511</v>
      </c>
      <c r="E75" s="14">
        <v>19.32</v>
      </c>
      <c r="F75" s="15">
        <v>4.1999999999999997E-3</v>
      </c>
      <c r="G75" s="15"/>
    </row>
    <row r="76" spans="1:7" x14ac:dyDescent="0.35">
      <c r="A76" s="12" t="s">
        <v>1519</v>
      </c>
      <c r="B76" s="30" t="s">
        <v>1520</v>
      </c>
      <c r="C76" s="30" t="s">
        <v>901</v>
      </c>
      <c r="D76" s="13">
        <v>8415</v>
      </c>
      <c r="E76" s="14">
        <v>19.2</v>
      </c>
      <c r="F76" s="15">
        <v>4.1999999999999997E-3</v>
      </c>
      <c r="G76" s="15"/>
    </row>
    <row r="77" spans="1:7" x14ac:dyDescent="0.35">
      <c r="A77" s="12" t="s">
        <v>1040</v>
      </c>
      <c r="B77" s="30" t="s">
        <v>1041</v>
      </c>
      <c r="C77" s="30" t="s">
        <v>908</v>
      </c>
      <c r="D77" s="13">
        <v>284</v>
      </c>
      <c r="E77" s="14">
        <v>19.07</v>
      </c>
      <c r="F77" s="15">
        <v>4.1999999999999997E-3</v>
      </c>
      <c r="G77" s="15"/>
    </row>
    <row r="78" spans="1:7" x14ac:dyDescent="0.35">
      <c r="A78" s="12" t="s">
        <v>1013</v>
      </c>
      <c r="B78" s="30" t="s">
        <v>1014</v>
      </c>
      <c r="C78" s="30" t="s">
        <v>1015</v>
      </c>
      <c r="D78" s="13">
        <v>1505</v>
      </c>
      <c r="E78" s="14">
        <v>19.010000000000002</v>
      </c>
      <c r="F78" s="15">
        <v>4.1000000000000003E-3</v>
      </c>
      <c r="G78" s="15"/>
    </row>
    <row r="79" spans="1:7" x14ac:dyDescent="0.35">
      <c r="A79" s="12" t="s">
        <v>986</v>
      </c>
      <c r="B79" s="30" t="s">
        <v>987</v>
      </c>
      <c r="C79" s="30" t="s">
        <v>988</v>
      </c>
      <c r="D79" s="13">
        <v>1506</v>
      </c>
      <c r="E79" s="14">
        <v>18.96</v>
      </c>
      <c r="F79" s="15">
        <v>4.1000000000000003E-3</v>
      </c>
      <c r="G79" s="15"/>
    </row>
    <row r="80" spans="1:7" x14ac:dyDescent="0.35">
      <c r="A80" s="12" t="s">
        <v>1700</v>
      </c>
      <c r="B80" s="30" t="s">
        <v>1701</v>
      </c>
      <c r="C80" s="30" t="s">
        <v>901</v>
      </c>
      <c r="D80" s="13">
        <v>897</v>
      </c>
      <c r="E80" s="14">
        <v>18.86</v>
      </c>
      <c r="F80" s="15">
        <v>4.1000000000000003E-3</v>
      </c>
      <c r="G80" s="15"/>
    </row>
    <row r="81" spans="1:7" x14ac:dyDescent="0.35">
      <c r="A81" s="12" t="s">
        <v>1702</v>
      </c>
      <c r="B81" s="30" t="s">
        <v>1703</v>
      </c>
      <c r="C81" s="30" t="s">
        <v>1057</v>
      </c>
      <c r="D81" s="13">
        <v>6714</v>
      </c>
      <c r="E81" s="14">
        <v>18.63</v>
      </c>
      <c r="F81" s="15">
        <v>4.1000000000000003E-3</v>
      </c>
      <c r="G81" s="15"/>
    </row>
    <row r="82" spans="1:7" x14ac:dyDescent="0.35">
      <c r="A82" s="12" t="s">
        <v>914</v>
      </c>
      <c r="B82" s="30" t="s">
        <v>915</v>
      </c>
      <c r="C82" s="30" t="s">
        <v>862</v>
      </c>
      <c r="D82" s="13">
        <v>1603</v>
      </c>
      <c r="E82" s="14">
        <v>18.32</v>
      </c>
      <c r="F82" s="15">
        <v>4.0000000000000001E-3</v>
      </c>
      <c r="G82" s="15"/>
    </row>
    <row r="83" spans="1:7" x14ac:dyDescent="0.35">
      <c r="A83" s="12" t="s">
        <v>1434</v>
      </c>
      <c r="B83" s="30" t="s">
        <v>1435</v>
      </c>
      <c r="C83" s="30" t="s">
        <v>931</v>
      </c>
      <c r="D83" s="13">
        <v>481</v>
      </c>
      <c r="E83" s="14">
        <v>18.23</v>
      </c>
      <c r="F83" s="15">
        <v>4.0000000000000001E-3</v>
      </c>
      <c r="G83" s="15"/>
    </row>
    <row r="84" spans="1:7" x14ac:dyDescent="0.35">
      <c r="A84" s="12" t="s">
        <v>1137</v>
      </c>
      <c r="B84" s="30" t="s">
        <v>1138</v>
      </c>
      <c r="C84" s="30" t="s">
        <v>898</v>
      </c>
      <c r="D84" s="13">
        <v>4415</v>
      </c>
      <c r="E84" s="14">
        <v>18.22</v>
      </c>
      <c r="F84" s="15">
        <v>4.0000000000000001E-3</v>
      </c>
      <c r="G84" s="15"/>
    </row>
    <row r="85" spans="1:7" x14ac:dyDescent="0.35">
      <c r="A85" s="12" t="s">
        <v>1704</v>
      </c>
      <c r="B85" s="30" t="s">
        <v>1705</v>
      </c>
      <c r="C85" s="30" t="s">
        <v>940</v>
      </c>
      <c r="D85" s="13">
        <v>835</v>
      </c>
      <c r="E85" s="14">
        <v>18.12</v>
      </c>
      <c r="F85" s="15">
        <v>3.8999999999999998E-3</v>
      </c>
      <c r="G85" s="15"/>
    </row>
    <row r="86" spans="1:7" x14ac:dyDescent="0.35">
      <c r="A86" s="12" t="s">
        <v>1461</v>
      </c>
      <c r="B86" s="30" t="s">
        <v>1462</v>
      </c>
      <c r="C86" s="30" t="s">
        <v>911</v>
      </c>
      <c r="D86" s="13">
        <v>471</v>
      </c>
      <c r="E86" s="14">
        <v>17.940000000000001</v>
      </c>
      <c r="F86" s="15">
        <v>3.8999999999999998E-3</v>
      </c>
      <c r="G86" s="15"/>
    </row>
    <row r="87" spans="1:7" x14ac:dyDescent="0.35">
      <c r="A87" s="12" t="s">
        <v>1023</v>
      </c>
      <c r="B87" s="30" t="s">
        <v>1024</v>
      </c>
      <c r="C87" s="30" t="s">
        <v>1025</v>
      </c>
      <c r="D87" s="13">
        <v>88</v>
      </c>
      <c r="E87" s="14">
        <v>17.920000000000002</v>
      </c>
      <c r="F87" s="15">
        <v>3.8999999999999998E-3</v>
      </c>
      <c r="G87" s="15"/>
    </row>
    <row r="88" spans="1:7" x14ac:dyDescent="0.35">
      <c r="A88" s="12" t="s">
        <v>1706</v>
      </c>
      <c r="B88" s="30" t="s">
        <v>1707</v>
      </c>
      <c r="C88" s="30" t="s">
        <v>901</v>
      </c>
      <c r="D88" s="13">
        <v>5297</v>
      </c>
      <c r="E88" s="14">
        <v>17.89</v>
      </c>
      <c r="F88" s="15">
        <v>3.8999999999999998E-3</v>
      </c>
      <c r="G88" s="15"/>
    </row>
    <row r="89" spans="1:7" x14ac:dyDescent="0.35">
      <c r="A89" s="12" t="s">
        <v>1153</v>
      </c>
      <c r="B89" s="30" t="s">
        <v>1154</v>
      </c>
      <c r="C89" s="30" t="s">
        <v>865</v>
      </c>
      <c r="D89" s="13">
        <v>8228</v>
      </c>
      <c r="E89" s="14">
        <v>17.600000000000001</v>
      </c>
      <c r="F89" s="15">
        <v>3.8E-3</v>
      </c>
      <c r="G89" s="15"/>
    </row>
    <row r="90" spans="1:7" x14ac:dyDescent="0.35">
      <c r="A90" s="12" t="s">
        <v>1141</v>
      </c>
      <c r="B90" s="30" t="s">
        <v>1142</v>
      </c>
      <c r="C90" s="30" t="s">
        <v>931</v>
      </c>
      <c r="D90" s="13">
        <v>209</v>
      </c>
      <c r="E90" s="14">
        <v>17.5</v>
      </c>
      <c r="F90" s="15">
        <v>3.8E-3</v>
      </c>
      <c r="G90" s="15"/>
    </row>
    <row r="91" spans="1:7" x14ac:dyDescent="0.35">
      <c r="A91" s="12" t="s">
        <v>1536</v>
      </c>
      <c r="B91" s="30" t="s">
        <v>1537</v>
      </c>
      <c r="C91" s="30" t="s">
        <v>1015</v>
      </c>
      <c r="D91" s="13">
        <v>1220</v>
      </c>
      <c r="E91" s="14">
        <v>17.420000000000002</v>
      </c>
      <c r="F91" s="15">
        <v>3.8E-3</v>
      </c>
      <c r="G91" s="15"/>
    </row>
    <row r="92" spans="1:7" x14ac:dyDescent="0.35">
      <c r="A92" s="12" t="s">
        <v>963</v>
      </c>
      <c r="B92" s="30" t="s">
        <v>964</v>
      </c>
      <c r="C92" s="30" t="s">
        <v>885</v>
      </c>
      <c r="D92" s="13">
        <v>14972</v>
      </c>
      <c r="E92" s="14">
        <v>17.260000000000002</v>
      </c>
      <c r="F92" s="15">
        <v>3.8E-3</v>
      </c>
      <c r="G92" s="15"/>
    </row>
    <row r="93" spans="1:7" x14ac:dyDescent="0.35">
      <c r="A93" s="12" t="s">
        <v>1049</v>
      </c>
      <c r="B93" s="30" t="s">
        <v>1050</v>
      </c>
      <c r="C93" s="30" t="s">
        <v>908</v>
      </c>
      <c r="D93" s="13">
        <v>1063</v>
      </c>
      <c r="E93" s="14">
        <v>17.02</v>
      </c>
      <c r="F93" s="15">
        <v>3.7000000000000002E-3</v>
      </c>
      <c r="G93" s="15"/>
    </row>
    <row r="94" spans="1:7" x14ac:dyDescent="0.35">
      <c r="A94" s="12" t="s">
        <v>925</v>
      </c>
      <c r="B94" s="30" t="s">
        <v>926</v>
      </c>
      <c r="C94" s="30" t="s">
        <v>911</v>
      </c>
      <c r="D94" s="13">
        <v>1557</v>
      </c>
      <c r="E94" s="14">
        <v>16.559999999999999</v>
      </c>
      <c r="F94" s="15">
        <v>3.5999999999999999E-3</v>
      </c>
      <c r="G94" s="15"/>
    </row>
    <row r="95" spans="1:7" x14ac:dyDescent="0.35">
      <c r="A95" s="12" t="s">
        <v>1067</v>
      </c>
      <c r="B95" s="30" t="s">
        <v>1068</v>
      </c>
      <c r="C95" s="30" t="s">
        <v>885</v>
      </c>
      <c r="D95" s="13">
        <v>15952</v>
      </c>
      <c r="E95" s="14">
        <v>16.36</v>
      </c>
      <c r="F95" s="15">
        <v>3.5999999999999999E-3</v>
      </c>
      <c r="G95" s="15"/>
    </row>
    <row r="96" spans="1:7" x14ac:dyDescent="0.35">
      <c r="A96" s="12" t="s">
        <v>878</v>
      </c>
      <c r="B96" s="30" t="s">
        <v>879</v>
      </c>
      <c r="C96" s="30" t="s">
        <v>862</v>
      </c>
      <c r="D96" s="13">
        <v>38318</v>
      </c>
      <c r="E96" s="14">
        <v>16.34</v>
      </c>
      <c r="F96" s="15">
        <v>3.5999999999999999E-3</v>
      </c>
      <c r="G96" s="15"/>
    </row>
    <row r="97" spans="1:7" x14ac:dyDescent="0.35">
      <c r="A97" s="12" t="s">
        <v>1145</v>
      </c>
      <c r="B97" s="30" t="s">
        <v>1146</v>
      </c>
      <c r="C97" s="30" t="s">
        <v>943</v>
      </c>
      <c r="D97" s="13">
        <v>1766</v>
      </c>
      <c r="E97" s="14">
        <v>15.98</v>
      </c>
      <c r="F97" s="15">
        <v>3.5000000000000001E-3</v>
      </c>
      <c r="G97" s="15"/>
    </row>
    <row r="98" spans="1:7" x14ac:dyDescent="0.35">
      <c r="A98" s="12" t="s">
        <v>1112</v>
      </c>
      <c r="B98" s="30" t="s">
        <v>1113</v>
      </c>
      <c r="C98" s="30" t="s">
        <v>908</v>
      </c>
      <c r="D98" s="13">
        <v>924</v>
      </c>
      <c r="E98" s="14">
        <v>15.91</v>
      </c>
      <c r="F98" s="15">
        <v>3.5000000000000001E-3</v>
      </c>
      <c r="G98" s="15"/>
    </row>
    <row r="99" spans="1:7" x14ac:dyDescent="0.35">
      <c r="A99" s="12" t="s">
        <v>1417</v>
      </c>
      <c r="B99" s="30" t="s">
        <v>1418</v>
      </c>
      <c r="C99" s="30" t="s">
        <v>1048</v>
      </c>
      <c r="D99" s="13">
        <v>367</v>
      </c>
      <c r="E99" s="14">
        <v>15.86</v>
      </c>
      <c r="F99" s="15">
        <v>3.5000000000000001E-3</v>
      </c>
      <c r="G99" s="15"/>
    </row>
    <row r="100" spans="1:7" x14ac:dyDescent="0.35">
      <c r="A100" s="12" t="s">
        <v>1098</v>
      </c>
      <c r="B100" s="30" t="s">
        <v>1099</v>
      </c>
      <c r="C100" s="30" t="s">
        <v>885</v>
      </c>
      <c r="D100" s="13">
        <v>3899</v>
      </c>
      <c r="E100" s="14">
        <v>15.8</v>
      </c>
      <c r="F100" s="15">
        <v>3.3999999999999998E-3</v>
      </c>
      <c r="G100" s="15"/>
    </row>
    <row r="101" spans="1:7" x14ac:dyDescent="0.35">
      <c r="A101" s="12" t="s">
        <v>969</v>
      </c>
      <c r="B101" s="30" t="s">
        <v>970</v>
      </c>
      <c r="C101" s="30" t="s">
        <v>971</v>
      </c>
      <c r="D101" s="13">
        <v>2321</v>
      </c>
      <c r="E101" s="14">
        <v>15.64</v>
      </c>
      <c r="F101" s="15">
        <v>3.3999999999999998E-3</v>
      </c>
      <c r="G101" s="15"/>
    </row>
    <row r="102" spans="1:7" x14ac:dyDescent="0.35">
      <c r="A102" s="12" t="s">
        <v>1522</v>
      </c>
      <c r="B102" s="30" t="s">
        <v>1523</v>
      </c>
      <c r="C102" s="30" t="s">
        <v>943</v>
      </c>
      <c r="D102" s="13">
        <v>1331</v>
      </c>
      <c r="E102" s="14">
        <v>15.54</v>
      </c>
      <c r="F102" s="15">
        <v>3.3999999999999998E-3</v>
      </c>
      <c r="G102" s="15"/>
    </row>
    <row r="103" spans="1:7" x14ac:dyDescent="0.35">
      <c r="A103" s="12" t="s">
        <v>1708</v>
      </c>
      <c r="B103" s="30" t="s">
        <v>1709</v>
      </c>
      <c r="C103" s="30" t="s">
        <v>940</v>
      </c>
      <c r="D103" s="13">
        <v>559</v>
      </c>
      <c r="E103" s="14">
        <v>15.53</v>
      </c>
      <c r="F103" s="15">
        <v>3.3999999999999998E-3</v>
      </c>
      <c r="G103" s="15"/>
    </row>
    <row r="104" spans="1:7" x14ac:dyDescent="0.35">
      <c r="A104" s="12" t="s">
        <v>1710</v>
      </c>
      <c r="B104" s="30" t="s">
        <v>1711</v>
      </c>
      <c r="C104" s="30" t="s">
        <v>885</v>
      </c>
      <c r="D104" s="13">
        <v>7644</v>
      </c>
      <c r="E104" s="14">
        <v>15.44</v>
      </c>
      <c r="F104" s="15">
        <v>3.3999999999999998E-3</v>
      </c>
      <c r="G104" s="15"/>
    </row>
    <row r="105" spans="1:7" x14ac:dyDescent="0.35">
      <c r="A105" s="12" t="s">
        <v>1165</v>
      </c>
      <c r="B105" s="30" t="s">
        <v>1166</v>
      </c>
      <c r="C105" s="30" t="s">
        <v>1048</v>
      </c>
      <c r="D105" s="13">
        <v>4354</v>
      </c>
      <c r="E105" s="14">
        <v>15.41</v>
      </c>
      <c r="F105" s="15">
        <v>3.3999999999999998E-3</v>
      </c>
      <c r="G105" s="15"/>
    </row>
    <row r="106" spans="1:7" x14ac:dyDescent="0.35">
      <c r="A106" s="12" t="s">
        <v>1200</v>
      </c>
      <c r="B106" s="30" t="s">
        <v>1201</v>
      </c>
      <c r="C106" s="30" t="s">
        <v>893</v>
      </c>
      <c r="D106" s="13">
        <v>920</v>
      </c>
      <c r="E106" s="14">
        <v>15.21</v>
      </c>
      <c r="F106" s="15">
        <v>3.3E-3</v>
      </c>
      <c r="G106" s="15"/>
    </row>
    <row r="107" spans="1:7" x14ac:dyDescent="0.35">
      <c r="A107" s="12" t="s">
        <v>1034</v>
      </c>
      <c r="B107" s="30" t="s">
        <v>1035</v>
      </c>
      <c r="C107" s="30" t="s">
        <v>958</v>
      </c>
      <c r="D107" s="13">
        <v>828</v>
      </c>
      <c r="E107" s="14">
        <v>15.14</v>
      </c>
      <c r="F107" s="15">
        <v>3.3E-3</v>
      </c>
      <c r="G107" s="15"/>
    </row>
    <row r="108" spans="1:7" x14ac:dyDescent="0.35">
      <c r="A108" s="12" t="s">
        <v>1011</v>
      </c>
      <c r="B108" s="30" t="s">
        <v>1012</v>
      </c>
      <c r="C108" s="30" t="s">
        <v>888</v>
      </c>
      <c r="D108" s="13">
        <v>1553</v>
      </c>
      <c r="E108" s="14">
        <v>14.95</v>
      </c>
      <c r="F108" s="15">
        <v>3.3E-3</v>
      </c>
      <c r="G108" s="15"/>
    </row>
    <row r="109" spans="1:7" x14ac:dyDescent="0.35">
      <c r="A109" s="12" t="s">
        <v>1712</v>
      </c>
      <c r="B109" s="30" t="s">
        <v>1713</v>
      </c>
      <c r="C109" s="30" t="s">
        <v>901</v>
      </c>
      <c r="D109" s="13">
        <v>34957</v>
      </c>
      <c r="E109" s="14">
        <v>14.89</v>
      </c>
      <c r="F109" s="15">
        <v>3.2000000000000002E-3</v>
      </c>
      <c r="G109" s="15"/>
    </row>
    <row r="110" spans="1:7" x14ac:dyDescent="0.35">
      <c r="A110" s="12" t="s">
        <v>1004</v>
      </c>
      <c r="B110" s="30" t="s">
        <v>1005</v>
      </c>
      <c r="C110" s="30" t="s">
        <v>971</v>
      </c>
      <c r="D110" s="13">
        <v>18633</v>
      </c>
      <c r="E110" s="14">
        <v>14.66</v>
      </c>
      <c r="F110" s="15">
        <v>3.2000000000000002E-3</v>
      </c>
      <c r="G110" s="15"/>
    </row>
    <row r="111" spans="1:7" x14ac:dyDescent="0.35">
      <c r="A111" s="12" t="s">
        <v>1446</v>
      </c>
      <c r="B111" s="30" t="s">
        <v>1447</v>
      </c>
      <c r="C111" s="30" t="s">
        <v>908</v>
      </c>
      <c r="D111" s="13">
        <v>538</v>
      </c>
      <c r="E111" s="14">
        <v>14.59</v>
      </c>
      <c r="F111" s="15">
        <v>3.2000000000000002E-3</v>
      </c>
      <c r="G111" s="15"/>
    </row>
    <row r="112" spans="1:7" x14ac:dyDescent="0.35">
      <c r="A112" s="12" t="s">
        <v>872</v>
      </c>
      <c r="B112" s="30" t="s">
        <v>873</v>
      </c>
      <c r="C112" s="30" t="s">
        <v>874</v>
      </c>
      <c r="D112" s="13">
        <v>3596</v>
      </c>
      <c r="E112" s="14">
        <v>14.59</v>
      </c>
      <c r="F112" s="15">
        <v>3.2000000000000002E-3</v>
      </c>
      <c r="G112" s="15"/>
    </row>
    <row r="113" spans="1:7" x14ac:dyDescent="0.35">
      <c r="A113" s="12" t="s">
        <v>857</v>
      </c>
      <c r="B113" s="30" t="s">
        <v>858</v>
      </c>
      <c r="C113" s="30" t="s">
        <v>859</v>
      </c>
      <c r="D113" s="13">
        <v>1768</v>
      </c>
      <c r="E113" s="14">
        <v>14.56</v>
      </c>
      <c r="F113" s="15">
        <v>3.2000000000000002E-3</v>
      </c>
      <c r="G113" s="15"/>
    </row>
    <row r="114" spans="1:7" x14ac:dyDescent="0.35">
      <c r="A114" s="12" t="s">
        <v>1407</v>
      </c>
      <c r="B114" s="30" t="s">
        <v>1408</v>
      </c>
      <c r="C114" s="30" t="s">
        <v>953</v>
      </c>
      <c r="D114" s="13">
        <v>524</v>
      </c>
      <c r="E114" s="14">
        <v>14.43</v>
      </c>
      <c r="F114" s="15">
        <v>3.0999999999999999E-3</v>
      </c>
      <c r="G114" s="15"/>
    </row>
    <row r="115" spans="1:7" x14ac:dyDescent="0.35">
      <c r="A115" s="12" t="s">
        <v>941</v>
      </c>
      <c r="B115" s="30" t="s">
        <v>942</v>
      </c>
      <c r="C115" s="30" t="s">
        <v>943</v>
      </c>
      <c r="D115" s="13">
        <v>3262</v>
      </c>
      <c r="E115" s="14">
        <v>14.14</v>
      </c>
      <c r="F115" s="15">
        <v>3.0999999999999999E-3</v>
      </c>
      <c r="G115" s="15"/>
    </row>
    <row r="116" spans="1:7" x14ac:dyDescent="0.35">
      <c r="A116" s="12" t="s">
        <v>1668</v>
      </c>
      <c r="B116" s="30" t="s">
        <v>1669</v>
      </c>
      <c r="C116" s="30" t="s">
        <v>911</v>
      </c>
      <c r="D116" s="13">
        <v>3646</v>
      </c>
      <c r="E116" s="14">
        <v>14.09</v>
      </c>
      <c r="F116" s="15">
        <v>3.0999999999999999E-3</v>
      </c>
      <c r="G116" s="15"/>
    </row>
    <row r="117" spans="1:7" x14ac:dyDescent="0.35">
      <c r="A117" s="12" t="s">
        <v>1106</v>
      </c>
      <c r="B117" s="30" t="s">
        <v>1107</v>
      </c>
      <c r="C117" s="30" t="s">
        <v>983</v>
      </c>
      <c r="D117" s="13">
        <v>1109</v>
      </c>
      <c r="E117" s="14">
        <v>14.04</v>
      </c>
      <c r="F117" s="15">
        <v>3.0999999999999999E-3</v>
      </c>
      <c r="G117" s="15"/>
    </row>
    <row r="118" spans="1:7" x14ac:dyDescent="0.35">
      <c r="A118" s="12" t="s">
        <v>1038</v>
      </c>
      <c r="B118" s="30" t="s">
        <v>1039</v>
      </c>
      <c r="C118" s="30" t="s">
        <v>1015</v>
      </c>
      <c r="D118" s="13">
        <v>1500</v>
      </c>
      <c r="E118" s="14">
        <v>13.87</v>
      </c>
      <c r="F118" s="15">
        <v>3.0000000000000001E-3</v>
      </c>
      <c r="G118" s="15"/>
    </row>
    <row r="119" spans="1:7" x14ac:dyDescent="0.35">
      <c r="A119" s="12" t="s">
        <v>1002</v>
      </c>
      <c r="B119" s="30" t="s">
        <v>1003</v>
      </c>
      <c r="C119" s="30" t="s">
        <v>937</v>
      </c>
      <c r="D119" s="13">
        <v>9845</v>
      </c>
      <c r="E119" s="14">
        <v>13.77</v>
      </c>
      <c r="F119" s="15">
        <v>3.0000000000000001E-3</v>
      </c>
      <c r="G119" s="15"/>
    </row>
    <row r="120" spans="1:7" x14ac:dyDescent="0.35">
      <c r="A120" s="12" t="s">
        <v>1515</v>
      </c>
      <c r="B120" s="30" t="s">
        <v>1516</v>
      </c>
      <c r="C120" s="30" t="s">
        <v>940</v>
      </c>
      <c r="D120" s="13">
        <v>511</v>
      </c>
      <c r="E120" s="14">
        <v>13.7</v>
      </c>
      <c r="F120" s="15">
        <v>3.0000000000000001E-3</v>
      </c>
      <c r="G120" s="15"/>
    </row>
    <row r="121" spans="1:7" x14ac:dyDescent="0.35">
      <c r="A121" s="12" t="s">
        <v>1526</v>
      </c>
      <c r="B121" s="30" t="s">
        <v>1527</v>
      </c>
      <c r="C121" s="30" t="s">
        <v>953</v>
      </c>
      <c r="D121" s="13">
        <v>15467</v>
      </c>
      <c r="E121" s="14">
        <v>13.53</v>
      </c>
      <c r="F121" s="15">
        <v>2.8999999999999998E-3</v>
      </c>
      <c r="G121" s="15"/>
    </row>
    <row r="122" spans="1:7" x14ac:dyDescent="0.35">
      <c r="A122" s="12" t="s">
        <v>1714</v>
      </c>
      <c r="B122" s="30" t="s">
        <v>1715</v>
      </c>
      <c r="C122" s="30" t="s">
        <v>1097</v>
      </c>
      <c r="D122" s="13">
        <v>2010</v>
      </c>
      <c r="E122" s="14">
        <v>13.52</v>
      </c>
      <c r="F122" s="15">
        <v>2.8999999999999998E-3</v>
      </c>
      <c r="G122" s="15"/>
    </row>
    <row r="123" spans="1:7" x14ac:dyDescent="0.35">
      <c r="A123" s="12" t="s">
        <v>1114</v>
      </c>
      <c r="B123" s="30" t="s">
        <v>1115</v>
      </c>
      <c r="C123" s="30" t="s">
        <v>943</v>
      </c>
      <c r="D123" s="13">
        <v>299</v>
      </c>
      <c r="E123" s="14">
        <v>13.26</v>
      </c>
      <c r="F123" s="15">
        <v>2.8999999999999998E-3</v>
      </c>
      <c r="G123" s="15"/>
    </row>
    <row r="124" spans="1:7" x14ac:dyDescent="0.35">
      <c r="A124" s="12" t="s">
        <v>1457</v>
      </c>
      <c r="B124" s="30" t="s">
        <v>1458</v>
      </c>
      <c r="C124" s="30" t="s">
        <v>898</v>
      </c>
      <c r="D124" s="13">
        <v>343</v>
      </c>
      <c r="E124" s="14">
        <v>13.21</v>
      </c>
      <c r="F124" s="15">
        <v>2.8999999999999998E-3</v>
      </c>
      <c r="G124" s="15"/>
    </row>
    <row r="125" spans="1:7" x14ac:dyDescent="0.35">
      <c r="A125" s="12" t="s">
        <v>1716</v>
      </c>
      <c r="B125" s="30" t="s">
        <v>1717</v>
      </c>
      <c r="C125" s="30" t="s">
        <v>940</v>
      </c>
      <c r="D125" s="13">
        <v>299</v>
      </c>
      <c r="E125" s="14">
        <v>13.15</v>
      </c>
      <c r="F125" s="15">
        <v>2.8999999999999998E-3</v>
      </c>
      <c r="G125" s="15"/>
    </row>
    <row r="126" spans="1:7" x14ac:dyDescent="0.35">
      <c r="A126" s="12" t="s">
        <v>1182</v>
      </c>
      <c r="B126" s="30" t="s">
        <v>1183</v>
      </c>
      <c r="C126" s="30" t="s">
        <v>943</v>
      </c>
      <c r="D126" s="13">
        <v>68</v>
      </c>
      <c r="E126" s="14">
        <v>13.09</v>
      </c>
      <c r="F126" s="15">
        <v>2.8E-3</v>
      </c>
      <c r="G126" s="15"/>
    </row>
    <row r="127" spans="1:7" x14ac:dyDescent="0.35">
      <c r="A127" s="12" t="s">
        <v>1411</v>
      </c>
      <c r="B127" s="30" t="s">
        <v>1412</v>
      </c>
      <c r="C127" s="30" t="s">
        <v>953</v>
      </c>
      <c r="D127" s="13">
        <v>2432</v>
      </c>
      <c r="E127" s="14">
        <v>13.05</v>
      </c>
      <c r="F127" s="15">
        <v>2.8E-3</v>
      </c>
      <c r="G127" s="15"/>
    </row>
    <row r="128" spans="1:7" x14ac:dyDescent="0.35">
      <c r="A128" s="12" t="s">
        <v>1184</v>
      </c>
      <c r="B128" s="30" t="s">
        <v>1185</v>
      </c>
      <c r="C128" s="30" t="s">
        <v>1186</v>
      </c>
      <c r="D128" s="13">
        <v>9602</v>
      </c>
      <c r="E128" s="14">
        <v>12.87</v>
      </c>
      <c r="F128" s="15">
        <v>2.8E-3</v>
      </c>
      <c r="G128" s="15"/>
    </row>
    <row r="129" spans="1:7" x14ac:dyDescent="0.35">
      <c r="A129" s="12" t="s">
        <v>1126</v>
      </c>
      <c r="B129" s="30" t="s">
        <v>1127</v>
      </c>
      <c r="C129" s="30" t="s">
        <v>1128</v>
      </c>
      <c r="D129" s="13">
        <v>5159</v>
      </c>
      <c r="E129" s="14">
        <v>12.69</v>
      </c>
      <c r="F129" s="15">
        <v>2.8E-3</v>
      </c>
      <c r="G129" s="15"/>
    </row>
    <row r="130" spans="1:7" x14ac:dyDescent="0.35">
      <c r="A130" s="12" t="s">
        <v>1718</v>
      </c>
      <c r="B130" s="30" t="s">
        <v>1719</v>
      </c>
      <c r="C130" s="30" t="s">
        <v>953</v>
      </c>
      <c r="D130" s="13">
        <v>1354</v>
      </c>
      <c r="E130" s="14">
        <v>12.68</v>
      </c>
      <c r="F130" s="15">
        <v>2.8E-3</v>
      </c>
      <c r="G130" s="15"/>
    </row>
    <row r="131" spans="1:7" x14ac:dyDescent="0.35">
      <c r="A131" s="12" t="s">
        <v>1605</v>
      </c>
      <c r="B131" s="30" t="s">
        <v>1606</v>
      </c>
      <c r="C131" s="30" t="s">
        <v>940</v>
      </c>
      <c r="D131" s="13">
        <v>599</v>
      </c>
      <c r="E131" s="14">
        <v>12.6</v>
      </c>
      <c r="F131" s="15">
        <v>2.7000000000000001E-3</v>
      </c>
      <c r="G131" s="15"/>
    </row>
    <row r="132" spans="1:7" x14ac:dyDescent="0.35">
      <c r="A132" s="12" t="s">
        <v>1030</v>
      </c>
      <c r="B132" s="30" t="s">
        <v>1031</v>
      </c>
      <c r="C132" s="30" t="s">
        <v>983</v>
      </c>
      <c r="D132" s="13">
        <v>2328</v>
      </c>
      <c r="E132" s="14">
        <v>12.58</v>
      </c>
      <c r="F132" s="15">
        <v>2.7000000000000001E-3</v>
      </c>
      <c r="G132" s="15"/>
    </row>
    <row r="133" spans="1:7" x14ac:dyDescent="0.35">
      <c r="A133" s="12" t="s">
        <v>1459</v>
      </c>
      <c r="B133" s="30" t="s">
        <v>1460</v>
      </c>
      <c r="C133" s="30" t="s">
        <v>1175</v>
      </c>
      <c r="D133" s="13">
        <v>354</v>
      </c>
      <c r="E133" s="14">
        <v>12.53</v>
      </c>
      <c r="F133" s="15">
        <v>2.7000000000000001E-3</v>
      </c>
      <c r="G133" s="15"/>
    </row>
    <row r="134" spans="1:7" x14ac:dyDescent="0.35">
      <c r="A134" s="12" t="s">
        <v>1720</v>
      </c>
      <c r="B134" s="30" t="s">
        <v>1721</v>
      </c>
      <c r="C134" s="30" t="s">
        <v>1097</v>
      </c>
      <c r="D134" s="13">
        <v>886</v>
      </c>
      <c r="E134" s="14">
        <v>12.49</v>
      </c>
      <c r="F134" s="15">
        <v>2.7000000000000001E-3</v>
      </c>
      <c r="G134" s="15"/>
    </row>
    <row r="135" spans="1:7" x14ac:dyDescent="0.35">
      <c r="A135" s="12" t="s">
        <v>1549</v>
      </c>
      <c r="B135" s="30" t="s">
        <v>1550</v>
      </c>
      <c r="C135" s="30" t="s">
        <v>1010</v>
      </c>
      <c r="D135" s="13">
        <v>2616</v>
      </c>
      <c r="E135" s="14">
        <v>12.4</v>
      </c>
      <c r="F135" s="15">
        <v>2.7000000000000001E-3</v>
      </c>
      <c r="G135" s="15"/>
    </row>
    <row r="136" spans="1:7" x14ac:dyDescent="0.35">
      <c r="A136" s="12" t="s">
        <v>932</v>
      </c>
      <c r="B136" s="30" t="s">
        <v>933</v>
      </c>
      <c r="C136" s="30" t="s">
        <v>934</v>
      </c>
      <c r="D136" s="13">
        <v>16606</v>
      </c>
      <c r="E136" s="14">
        <v>12.3</v>
      </c>
      <c r="F136" s="15">
        <v>2.7000000000000001E-3</v>
      </c>
      <c r="G136" s="15"/>
    </row>
    <row r="137" spans="1:7" x14ac:dyDescent="0.35">
      <c r="A137" s="12" t="s">
        <v>1509</v>
      </c>
      <c r="B137" s="30" t="s">
        <v>1510</v>
      </c>
      <c r="C137" s="30" t="s">
        <v>931</v>
      </c>
      <c r="D137" s="13">
        <v>315</v>
      </c>
      <c r="E137" s="14">
        <v>12.29</v>
      </c>
      <c r="F137" s="15">
        <v>2.7000000000000001E-3</v>
      </c>
      <c r="G137" s="15"/>
    </row>
    <row r="138" spans="1:7" x14ac:dyDescent="0.35">
      <c r="A138" s="12" t="s">
        <v>1722</v>
      </c>
      <c r="B138" s="30" t="s">
        <v>1723</v>
      </c>
      <c r="C138" s="30" t="s">
        <v>958</v>
      </c>
      <c r="D138" s="13">
        <v>1751</v>
      </c>
      <c r="E138" s="14">
        <v>12.11</v>
      </c>
      <c r="F138" s="15">
        <v>2.5999999999999999E-3</v>
      </c>
      <c r="G138" s="15"/>
    </row>
    <row r="139" spans="1:7" x14ac:dyDescent="0.35">
      <c r="A139" s="12" t="s">
        <v>1724</v>
      </c>
      <c r="B139" s="30" t="s">
        <v>1725</v>
      </c>
      <c r="C139" s="30" t="s">
        <v>885</v>
      </c>
      <c r="D139" s="13">
        <v>3846</v>
      </c>
      <c r="E139" s="14">
        <v>12.09</v>
      </c>
      <c r="F139" s="15">
        <v>2.5999999999999999E-3</v>
      </c>
      <c r="G139" s="15"/>
    </row>
    <row r="140" spans="1:7" x14ac:dyDescent="0.35">
      <c r="A140" s="12" t="s">
        <v>1100</v>
      </c>
      <c r="B140" s="30" t="s">
        <v>1101</v>
      </c>
      <c r="C140" s="30" t="s">
        <v>859</v>
      </c>
      <c r="D140" s="13">
        <v>31897</v>
      </c>
      <c r="E140" s="14">
        <v>11.95</v>
      </c>
      <c r="F140" s="15">
        <v>2.5999999999999999E-3</v>
      </c>
      <c r="G140" s="15"/>
    </row>
    <row r="141" spans="1:7" x14ac:dyDescent="0.35">
      <c r="A141" s="12" t="s">
        <v>1726</v>
      </c>
      <c r="B141" s="30" t="s">
        <v>1727</v>
      </c>
      <c r="C141" s="30" t="s">
        <v>908</v>
      </c>
      <c r="D141" s="13">
        <v>1645</v>
      </c>
      <c r="E141" s="14">
        <v>11.87</v>
      </c>
      <c r="F141" s="15">
        <v>2.5999999999999999E-3</v>
      </c>
      <c r="G141" s="15"/>
    </row>
    <row r="142" spans="1:7" x14ac:dyDescent="0.35">
      <c r="A142" s="12" t="s">
        <v>1670</v>
      </c>
      <c r="B142" s="30" t="s">
        <v>1671</v>
      </c>
      <c r="C142" s="30" t="s">
        <v>898</v>
      </c>
      <c r="D142" s="13">
        <v>316</v>
      </c>
      <c r="E142" s="14">
        <v>11.6</v>
      </c>
      <c r="F142" s="15">
        <v>2.5000000000000001E-3</v>
      </c>
      <c r="G142" s="15"/>
    </row>
    <row r="143" spans="1:7" x14ac:dyDescent="0.35">
      <c r="A143" s="12" t="s">
        <v>1728</v>
      </c>
      <c r="B143" s="30" t="s">
        <v>1729</v>
      </c>
      <c r="C143" s="30" t="s">
        <v>953</v>
      </c>
      <c r="D143" s="13">
        <v>2485</v>
      </c>
      <c r="E143" s="14">
        <v>11.57</v>
      </c>
      <c r="F143" s="15">
        <v>2.5000000000000001E-3</v>
      </c>
      <c r="G143" s="15"/>
    </row>
    <row r="144" spans="1:7" x14ac:dyDescent="0.35">
      <c r="A144" s="12" t="s">
        <v>1423</v>
      </c>
      <c r="B144" s="30" t="s">
        <v>1424</v>
      </c>
      <c r="C144" s="30" t="s">
        <v>958</v>
      </c>
      <c r="D144" s="13">
        <v>1067</v>
      </c>
      <c r="E144" s="14">
        <v>11.54</v>
      </c>
      <c r="F144" s="15">
        <v>2.5000000000000001E-3</v>
      </c>
      <c r="G144" s="15"/>
    </row>
    <row r="145" spans="1:7" x14ac:dyDescent="0.35">
      <c r="A145" s="12" t="s">
        <v>1730</v>
      </c>
      <c r="B145" s="30" t="s">
        <v>1731</v>
      </c>
      <c r="C145" s="30" t="s">
        <v>885</v>
      </c>
      <c r="D145" s="13">
        <v>570</v>
      </c>
      <c r="E145" s="14">
        <v>11.51</v>
      </c>
      <c r="F145" s="15">
        <v>2.5000000000000001E-3</v>
      </c>
      <c r="G145" s="15"/>
    </row>
    <row r="146" spans="1:7" x14ac:dyDescent="0.35">
      <c r="A146" s="12" t="s">
        <v>1195</v>
      </c>
      <c r="B146" s="30" t="s">
        <v>1196</v>
      </c>
      <c r="C146" s="30" t="s">
        <v>995</v>
      </c>
      <c r="D146" s="13">
        <v>2218</v>
      </c>
      <c r="E146" s="14">
        <v>11.5</v>
      </c>
      <c r="F146" s="15">
        <v>2.5000000000000001E-3</v>
      </c>
      <c r="G146" s="15"/>
    </row>
    <row r="147" spans="1:7" x14ac:dyDescent="0.35">
      <c r="A147" s="12" t="s">
        <v>1676</v>
      </c>
      <c r="B147" s="30" t="s">
        <v>1677</v>
      </c>
      <c r="C147" s="30" t="s">
        <v>1097</v>
      </c>
      <c r="D147" s="13">
        <v>1475</v>
      </c>
      <c r="E147" s="14">
        <v>11.36</v>
      </c>
      <c r="F147" s="15">
        <v>2.5000000000000001E-3</v>
      </c>
      <c r="G147" s="15"/>
    </row>
    <row r="148" spans="1:7" x14ac:dyDescent="0.35">
      <c r="A148" s="12" t="s">
        <v>1055</v>
      </c>
      <c r="B148" s="30" t="s">
        <v>1056</v>
      </c>
      <c r="C148" s="30" t="s">
        <v>1057</v>
      </c>
      <c r="D148" s="13">
        <v>251</v>
      </c>
      <c r="E148" s="14">
        <v>11.34</v>
      </c>
      <c r="F148" s="15">
        <v>2.5000000000000001E-3</v>
      </c>
      <c r="G148" s="15"/>
    </row>
    <row r="149" spans="1:7" x14ac:dyDescent="0.35">
      <c r="A149" s="12" t="s">
        <v>1151</v>
      </c>
      <c r="B149" s="30" t="s">
        <v>1152</v>
      </c>
      <c r="C149" s="30" t="s">
        <v>943</v>
      </c>
      <c r="D149" s="13">
        <v>314</v>
      </c>
      <c r="E149" s="14">
        <v>11.33</v>
      </c>
      <c r="F149" s="15">
        <v>2.5000000000000001E-3</v>
      </c>
      <c r="G149" s="15"/>
    </row>
    <row r="150" spans="1:7" x14ac:dyDescent="0.35">
      <c r="A150" s="12" t="s">
        <v>1732</v>
      </c>
      <c r="B150" s="30" t="s">
        <v>1733</v>
      </c>
      <c r="C150" s="30" t="s">
        <v>1015</v>
      </c>
      <c r="D150" s="13">
        <v>1117</v>
      </c>
      <c r="E150" s="14">
        <v>11.06</v>
      </c>
      <c r="F150" s="15">
        <v>2.3999999999999998E-3</v>
      </c>
      <c r="G150" s="15"/>
    </row>
    <row r="151" spans="1:7" x14ac:dyDescent="0.35">
      <c r="A151" s="12" t="s">
        <v>1734</v>
      </c>
      <c r="B151" s="30" t="s">
        <v>1735</v>
      </c>
      <c r="C151" s="30" t="s">
        <v>1057</v>
      </c>
      <c r="D151" s="13">
        <v>430</v>
      </c>
      <c r="E151" s="14">
        <v>11.02</v>
      </c>
      <c r="F151" s="15">
        <v>2.3999999999999998E-3</v>
      </c>
      <c r="G151" s="15"/>
    </row>
    <row r="152" spans="1:7" x14ac:dyDescent="0.35">
      <c r="A152" s="12" t="s">
        <v>1736</v>
      </c>
      <c r="B152" s="30" t="s">
        <v>1737</v>
      </c>
      <c r="C152" s="30" t="s">
        <v>934</v>
      </c>
      <c r="D152" s="13">
        <v>507</v>
      </c>
      <c r="E152" s="14">
        <v>11.01</v>
      </c>
      <c r="F152" s="15">
        <v>2.3999999999999998E-3</v>
      </c>
      <c r="G152" s="15"/>
    </row>
    <row r="153" spans="1:7" x14ac:dyDescent="0.35">
      <c r="A153" s="12" t="s">
        <v>1543</v>
      </c>
      <c r="B153" s="30" t="s">
        <v>1544</v>
      </c>
      <c r="C153" s="30" t="s">
        <v>1540</v>
      </c>
      <c r="D153" s="13">
        <v>28</v>
      </c>
      <c r="E153" s="14">
        <v>11.01</v>
      </c>
      <c r="F153" s="15">
        <v>2.3999999999999998E-3</v>
      </c>
      <c r="G153" s="15"/>
    </row>
    <row r="154" spans="1:7" x14ac:dyDescent="0.35">
      <c r="A154" s="12" t="s">
        <v>1507</v>
      </c>
      <c r="B154" s="30" t="s">
        <v>1508</v>
      </c>
      <c r="C154" s="30" t="s">
        <v>1025</v>
      </c>
      <c r="D154" s="13">
        <v>291</v>
      </c>
      <c r="E154" s="14">
        <v>10.96</v>
      </c>
      <c r="F154" s="15">
        <v>2.3999999999999998E-3</v>
      </c>
      <c r="G154" s="15"/>
    </row>
    <row r="155" spans="1:7" x14ac:dyDescent="0.35">
      <c r="A155" s="12" t="s">
        <v>965</v>
      </c>
      <c r="B155" s="30" t="s">
        <v>966</v>
      </c>
      <c r="C155" s="30" t="s">
        <v>901</v>
      </c>
      <c r="D155" s="13">
        <v>2168</v>
      </c>
      <c r="E155" s="14">
        <v>10.93</v>
      </c>
      <c r="F155" s="15">
        <v>2.3999999999999998E-3</v>
      </c>
      <c r="G155" s="15"/>
    </row>
    <row r="156" spans="1:7" x14ac:dyDescent="0.35">
      <c r="A156" s="12" t="s">
        <v>1085</v>
      </c>
      <c r="B156" s="30" t="s">
        <v>1086</v>
      </c>
      <c r="C156" s="30" t="s">
        <v>983</v>
      </c>
      <c r="D156" s="13">
        <v>9033</v>
      </c>
      <c r="E156" s="14">
        <v>10.56</v>
      </c>
      <c r="F156" s="15">
        <v>2.3E-3</v>
      </c>
      <c r="G156" s="15"/>
    </row>
    <row r="157" spans="1:7" x14ac:dyDescent="0.35">
      <c r="A157" s="12" t="s">
        <v>1159</v>
      </c>
      <c r="B157" s="30" t="s">
        <v>1160</v>
      </c>
      <c r="C157" s="30" t="s">
        <v>931</v>
      </c>
      <c r="D157" s="13">
        <v>375</v>
      </c>
      <c r="E157" s="14">
        <v>9.69</v>
      </c>
      <c r="F157" s="15">
        <v>2.0999999999999999E-3</v>
      </c>
      <c r="G157" s="15"/>
    </row>
    <row r="158" spans="1:7" x14ac:dyDescent="0.35">
      <c r="A158" s="12" t="s">
        <v>906</v>
      </c>
      <c r="B158" s="30" t="s">
        <v>907</v>
      </c>
      <c r="C158" s="30" t="s">
        <v>908</v>
      </c>
      <c r="D158" s="13">
        <v>1809</v>
      </c>
      <c r="E158" s="14">
        <v>9.64</v>
      </c>
      <c r="F158" s="15">
        <v>2.0999999999999999E-3</v>
      </c>
      <c r="G158" s="15"/>
    </row>
    <row r="159" spans="1:7" x14ac:dyDescent="0.35">
      <c r="A159" s="12" t="s">
        <v>886</v>
      </c>
      <c r="B159" s="30" t="s">
        <v>887</v>
      </c>
      <c r="C159" s="30" t="s">
        <v>888</v>
      </c>
      <c r="D159" s="13">
        <v>1312</v>
      </c>
      <c r="E159" s="14">
        <v>9.58</v>
      </c>
      <c r="F159" s="15">
        <v>2.0999999999999999E-3</v>
      </c>
      <c r="G159" s="15"/>
    </row>
    <row r="160" spans="1:7" x14ac:dyDescent="0.35">
      <c r="A160" s="12" t="s">
        <v>1108</v>
      </c>
      <c r="B160" s="30" t="s">
        <v>1109</v>
      </c>
      <c r="C160" s="30" t="s">
        <v>1057</v>
      </c>
      <c r="D160" s="13">
        <v>1500</v>
      </c>
      <c r="E160" s="14">
        <v>9.4700000000000006</v>
      </c>
      <c r="F160" s="15">
        <v>2.0999999999999999E-3</v>
      </c>
      <c r="G160" s="15"/>
    </row>
    <row r="161" spans="1:7" x14ac:dyDescent="0.35">
      <c r="A161" s="12" t="s">
        <v>899</v>
      </c>
      <c r="B161" s="30" t="s">
        <v>900</v>
      </c>
      <c r="C161" s="30" t="s">
        <v>901</v>
      </c>
      <c r="D161" s="13">
        <v>4169</v>
      </c>
      <c r="E161" s="14">
        <v>9.42</v>
      </c>
      <c r="F161" s="15">
        <v>2.0999999999999999E-3</v>
      </c>
      <c r="G161" s="15"/>
    </row>
    <row r="162" spans="1:7" x14ac:dyDescent="0.35">
      <c r="A162" s="12" t="s">
        <v>923</v>
      </c>
      <c r="B162" s="30" t="s">
        <v>924</v>
      </c>
      <c r="C162" s="30" t="s">
        <v>877</v>
      </c>
      <c r="D162" s="13">
        <v>8818</v>
      </c>
      <c r="E162" s="14">
        <v>9.42</v>
      </c>
      <c r="F162" s="15">
        <v>2.0999999999999999E-3</v>
      </c>
      <c r="G162" s="15"/>
    </row>
    <row r="163" spans="1:7" x14ac:dyDescent="0.35">
      <c r="A163" s="12" t="s">
        <v>1442</v>
      </c>
      <c r="B163" s="30" t="s">
        <v>1443</v>
      </c>
      <c r="C163" s="30" t="s">
        <v>885</v>
      </c>
      <c r="D163" s="13">
        <v>311</v>
      </c>
      <c r="E163" s="14">
        <v>9.32</v>
      </c>
      <c r="F163" s="15">
        <v>2E-3</v>
      </c>
      <c r="G163" s="15"/>
    </row>
    <row r="164" spans="1:7" x14ac:dyDescent="0.35">
      <c r="A164" s="12" t="s">
        <v>1444</v>
      </c>
      <c r="B164" s="30" t="s">
        <v>1445</v>
      </c>
      <c r="C164" s="30" t="s">
        <v>874</v>
      </c>
      <c r="D164" s="13">
        <v>3268</v>
      </c>
      <c r="E164" s="14">
        <v>9.27</v>
      </c>
      <c r="F164" s="15">
        <v>2E-3</v>
      </c>
      <c r="G164" s="15"/>
    </row>
    <row r="165" spans="1:7" x14ac:dyDescent="0.35">
      <c r="A165" s="12" t="s">
        <v>1000</v>
      </c>
      <c r="B165" s="30" t="s">
        <v>1001</v>
      </c>
      <c r="C165" s="30" t="s">
        <v>931</v>
      </c>
      <c r="D165" s="13">
        <v>358</v>
      </c>
      <c r="E165" s="14">
        <v>9.16</v>
      </c>
      <c r="F165" s="15">
        <v>2E-3</v>
      </c>
      <c r="G165" s="15"/>
    </row>
    <row r="166" spans="1:7" x14ac:dyDescent="0.35">
      <c r="A166" s="12" t="s">
        <v>1738</v>
      </c>
      <c r="B166" s="30" t="s">
        <v>1739</v>
      </c>
      <c r="C166" s="30" t="s">
        <v>1048</v>
      </c>
      <c r="D166" s="13">
        <v>197</v>
      </c>
      <c r="E166" s="14">
        <v>9.0500000000000007</v>
      </c>
      <c r="F166" s="15">
        <v>2E-3</v>
      </c>
      <c r="G166" s="15"/>
    </row>
    <row r="167" spans="1:7" x14ac:dyDescent="0.35">
      <c r="A167" s="12" t="s">
        <v>1740</v>
      </c>
      <c r="B167" s="30" t="s">
        <v>1741</v>
      </c>
      <c r="C167" s="30" t="s">
        <v>958</v>
      </c>
      <c r="D167" s="13">
        <v>930</v>
      </c>
      <c r="E167" s="14">
        <v>9</v>
      </c>
      <c r="F167" s="15">
        <v>2E-3</v>
      </c>
      <c r="G167" s="15"/>
    </row>
    <row r="168" spans="1:7" x14ac:dyDescent="0.35">
      <c r="A168" s="12" t="s">
        <v>1742</v>
      </c>
      <c r="B168" s="30" t="s">
        <v>1743</v>
      </c>
      <c r="C168" s="30" t="s">
        <v>1186</v>
      </c>
      <c r="D168" s="13">
        <v>4612</v>
      </c>
      <c r="E168" s="14">
        <v>8.9</v>
      </c>
      <c r="F168" s="15">
        <v>1.9E-3</v>
      </c>
      <c r="G168" s="15"/>
    </row>
    <row r="169" spans="1:7" x14ac:dyDescent="0.35">
      <c r="A169" s="12" t="s">
        <v>1044</v>
      </c>
      <c r="B169" s="30" t="s">
        <v>1045</v>
      </c>
      <c r="C169" s="30" t="s">
        <v>988</v>
      </c>
      <c r="D169" s="13">
        <v>103494</v>
      </c>
      <c r="E169" s="14">
        <v>8.85</v>
      </c>
      <c r="F169" s="15">
        <v>1.9E-3</v>
      </c>
      <c r="G169" s="15"/>
    </row>
    <row r="170" spans="1:7" x14ac:dyDescent="0.35">
      <c r="A170" s="12" t="s">
        <v>1104</v>
      </c>
      <c r="B170" s="30" t="s">
        <v>1105</v>
      </c>
      <c r="C170" s="30" t="s">
        <v>911</v>
      </c>
      <c r="D170" s="13">
        <v>301</v>
      </c>
      <c r="E170" s="14">
        <v>8.77</v>
      </c>
      <c r="F170" s="15">
        <v>1.9E-3</v>
      </c>
      <c r="G170" s="15"/>
    </row>
    <row r="171" spans="1:7" x14ac:dyDescent="0.35">
      <c r="A171" s="12" t="s">
        <v>1744</v>
      </c>
      <c r="B171" s="30" t="s">
        <v>1745</v>
      </c>
      <c r="C171" s="30" t="s">
        <v>943</v>
      </c>
      <c r="D171" s="13">
        <v>200</v>
      </c>
      <c r="E171" s="14">
        <v>8.76</v>
      </c>
      <c r="F171" s="15">
        <v>1.9E-3</v>
      </c>
      <c r="G171" s="15"/>
    </row>
    <row r="172" spans="1:7" x14ac:dyDescent="0.35">
      <c r="A172" s="12" t="s">
        <v>1131</v>
      </c>
      <c r="B172" s="30" t="s">
        <v>1132</v>
      </c>
      <c r="C172" s="30" t="s">
        <v>868</v>
      </c>
      <c r="D172" s="13">
        <v>425</v>
      </c>
      <c r="E172" s="14">
        <v>8.66</v>
      </c>
      <c r="F172" s="15">
        <v>1.9E-3</v>
      </c>
      <c r="G172" s="15"/>
    </row>
    <row r="173" spans="1:7" x14ac:dyDescent="0.35">
      <c r="A173" s="12" t="s">
        <v>1524</v>
      </c>
      <c r="B173" s="30" t="s">
        <v>1525</v>
      </c>
      <c r="C173" s="30" t="s">
        <v>898</v>
      </c>
      <c r="D173" s="13">
        <v>320</v>
      </c>
      <c r="E173" s="14">
        <v>8.57</v>
      </c>
      <c r="F173" s="15">
        <v>1.9E-3</v>
      </c>
      <c r="G173" s="15"/>
    </row>
    <row r="174" spans="1:7" x14ac:dyDescent="0.35">
      <c r="A174" s="12" t="s">
        <v>1746</v>
      </c>
      <c r="B174" s="30" t="s">
        <v>1747</v>
      </c>
      <c r="C174" s="30" t="s">
        <v>931</v>
      </c>
      <c r="D174" s="13">
        <v>275</v>
      </c>
      <c r="E174" s="14">
        <v>8.4499999999999993</v>
      </c>
      <c r="F174" s="15">
        <v>1.8E-3</v>
      </c>
      <c r="G174" s="15"/>
    </row>
    <row r="175" spans="1:7" x14ac:dyDescent="0.35">
      <c r="A175" s="12" t="s">
        <v>1551</v>
      </c>
      <c r="B175" s="30" t="s">
        <v>1552</v>
      </c>
      <c r="C175" s="30" t="s">
        <v>958</v>
      </c>
      <c r="D175" s="13">
        <v>1737</v>
      </c>
      <c r="E175" s="14">
        <v>8.44</v>
      </c>
      <c r="F175" s="15">
        <v>1.8E-3</v>
      </c>
      <c r="G175" s="15"/>
    </row>
    <row r="176" spans="1:7" x14ac:dyDescent="0.35">
      <c r="A176" s="12" t="s">
        <v>1748</v>
      </c>
      <c r="B176" s="30" t="s">
        <v>1749</v>
      </c>
      <c r="C176" s="30" t="s">
        <v>1750</v>
      </c>
      <c r="D176" s="13">
        <v>36</v>
      </c>
      <c r="E176" s="14">
        <v>8.3800000000000008</v>
      </c>
      <c r="F176" s="15">
        <v>1.8E-3</v>
      </c>
      <c r="G176" s="15"/>
    </row>
    <row r="177" spans="1:7" x14ac:dyDescent="0.35">
      <c r="A177" s="12" t="s">
        <v>1118</v>
      </c>
      <c r="B177" s="30" t="s">
        <v>1119</v>
      </c>
      <c r="C177" s="30" t="s">
        <v>995</v>
      </c>
      <c r="D177" s="13">
        <v>3636</v>
      </c>
      <c r="E177" s="14">
        <v>8.2200000000000006</v>
      </c>
      <c r="F177" s="15">
        <v>1.8E-3</v>
      </c>
      <c r="G177" s="15"/>
    </row>
    <row r="178" spans="1:7" x14ac:dyDescent="0.35">
      <c r="A178" s="12" t="s">
        <v>1555</v>
      </c>
      <c r="B178" s="30" t="s">
        <v>1556</v>
      </c>
      <c r="C178" s="30" t="s">
        <v>862</v>
      </c>
      <c r="D178" s="13">
        <v>3210</v>
      </c>
      <c r="E178" s="14">
        <v>8.15</v>
      </c>
      <c r="F178" s="15">
        <v>1.8E-3</v>
      </c>
      <c r="G178" s="15"/>
    </row>
    <row r="179" spans="1:7" x14ac:dyDescent="0.35">
      <c r="A179" s="12" t="s">
        <v>977</v>
      </c>
      <c r="B179" s="30" t="s">
        <v>978</v>
      </c>
      <c r="C179" s="30" t="s">
        <v>874</v>
      </c>
      <c r="D179" s="13">
        <v>11599</v>
      </c>
      <c r="E179" s="14">
        <v>8.14</v>
      </c>
      <c r="F179" s="15">
        <v>1.8E-3</v>
      </c>
      <c r="G179" s="15"/>
    </row>
    <row r="180" spans="1:7" x14ac:dyDescent="0.35">
      <c r="A180" s="12" t="s">
        <v>1751</v>
      </c>
      <c r="B180" s="30" t="s">
        <v>1752</v>
      </c>
      <c r="C180" s="30" t="s">
        <v>862</v>
      </c>
      <c r="D180" s="13">
        <v>14976</v>
      </c>
      <c r="E180" s="14">
        <v>8.07</v>
      </c>
      <c r="F180" s="15">
        <v>1.8E-3</v>
      </c>
      <c r="G180" s="15"/>
    </row>
    <row r="181" spans="1:7" x14ac:dyDescent="0.35">
      <c r="A181" s="12" t="s">
        <v>1753</v>
      </c>
      <c r="B181" s="30" t="s">
        <v>1754</v>
      </c>
      <c r="C181" s="30" t="s">
        <v>885</v>
      </c>
      <c r="D181" s="13">
        <v>121</v>
      </c>
      <c r="E181" s="14">
        <v>8.06</v>
      </c>
      <c r="F181" s="15">
        <v>1.8E-3</v>
      </c>
      <c r="G181" s="15"/>
    </row>
    <row r="182" spans="1:7" x14ac:dyDescent="0.35">
      <c r="A182" s="12" t="s">
        <v>1755</v>
      </c>
      <c r="B182" s="30" t="s">
        <v>1756</v>
      </c>
      <c r="C182" s="30" t="s">
        <v>1015</v>
      </c>
      <c r="D182" s="13">
        <v>1808</v>
      </c>
      <c r="E182" s="14">
        <v>7.99</v>
      </c>
      <c r="F182" s="15">
        <v>1.6999999999999999E-3</v>
      </c>
      <c r="G182" s="15"/>
    </row>
    <row r="183" spans="1:7" x14ac:dyDescent="0.35">
      <c r="A183" s="12" t="s">
        <v>1008</v>
      </c>
      <c r="B183" s="30" t="s">
        <v>1009</v>
      </c>
      <c r="C183" s="30" t="s">
        <v>1010</v>
      </c>
      <c r="D183" s="13">
        <v>1439</v>
      </c>
      <c r="E183" s="14">
        <v>7.98</v>
      </c>
      <c r="F183" s="15">
        <v>1.6999999999999999E-3</v>
      </c>
      <c r="G183" s="15"/>
    </row>
    <row r="184" spans="1:7" x14ac:dyDescent="0.35">
      <c r="A184" s="12" t="s">
        <v>1757</v>
      </c>
      <c r="B184" s="30" t="s">
        <v>1758</v>
      </c>
      <c r="C184" s="30" t="s">
        <v>1175</v>
      </c>
      <c r="D184" s="13">
        <v>687</v>
      </c>
      <c r="E184" s="14">
        <v>7.93</v>
      </c>
      <c r="F184" s="15">
        <v>1.6999999999999999E-3</v>
      </c>
      <c r="G184" s="15"/>
    </row>
    <row r="185" spans="1:7" x14ac:dyDescent="0.35">
      <c r="A185" s="12" t="s">
        <v>1452</v>
      </c>
      <c r="B185" s="30" t="s">
        <v>1453</v>
      </c>
      <c r="C185" s="30" t="s">
        <v>888</v>
      </c>
      <c r="D185" s="13">
        <v>1608</v>
      </c>
      <c r="E185" s="14">
        <v>7.92</v>
      </c>
      <c r="F185" s="15">
        <v>1.6999999999999999E-3</v>
      </c>
      <c r="G185" s="15"/>
    </row>
    <row r="186" spans="1:7" x14ac:dyDescent="0.35">
      <c r="A186" s="12" t="s">
        <v>1759</v>
      </c>
      <c r="B186" s="30" t="s">
        <v>1760</v>
      </c>
      <c r="C186" s="30" t="s">
        <v>911</v>
      </c>
      <c r="D186" s="13">
        <v>814</v>
      </c>
      <c r="E186" s="14">
        <v>7.9</v>
      </c>
      <c r="F186" s="15">
        <v>1.6999999999999999E-3</v>
      </c>
      <c r="G186" s="15"/>
    </row>
    <row r="187" spans="1:7" x14ac:dyDescent="0.35">
      <c r="A187" s="12" t="s">
        <v>1761</v>
      </c>
      <c r="B187" s="30" t="s">
        <v>1762</v>
      </c>
      <c r="C187" s="30" t="s">
        <v>888</v>
      </c>
      <c r="D187" s="13">
        <v>168</v>
      </c>
      <c r="E187" s="14">
        <v>7.86</v>
      </c>
      <c r="F187" s="15">
        <v>1.6999999999999999E-3</v>
      </c>
      <c r="G187" s="15"/>
    </row>
    <row r="188" spans="1:7" x14ac:dyDescent="0.35">
      <c r="A188" s="12" t="s">
        <v>1006</v>
      </c>
      <c r="B188" s="30" t="s">
        <v>1007</v>
      </c>
      <c r="C188" s="30" t="s">
        <v>885</v>
      </c>
      <c r="D188" s="13">
        <v>9574</v>
      </c>
      <c r="E188" s="14">
        <v>7.76</v>
      </c>
      <c r="F188" s="15">
        <v>1.6999999999999999E-3</v>
      </c>
      <c r="G188" s="15"/>
    </row>
    <row r="189" spans="1:7" x14ac:dyDescent="0.35">
      <c r="A189" s="12" t="s">
        <v>1413</v>
      </c>
      <c r="B189" s="30" t="s">
        <v>1414</v>
      </c>
      <c r="C189" s="30" t="s">
        <v>1010</v>
      </c>
      <c r="D189" s="13">
        <v>932</v>
      </c>
      <c r="E189" s="14">
        <v>7.73</v>
      </c>
      <c r="F189" s="15">
        <v>1.6999999999999999E-3</v>
      </c>
      <c r="G189" s="15"/>
    </row>
    <row r="190" spans="1:7" x14ac:dyDescent="0.35">
      <c r="A190" s="12" t="s">
        <v>1058</v>
      </c>
      <c r="B190" s="30" t="s">
        <v>1059</v>
      </c>
      <c r="C190" s="30" t="s">
        <v>1060</v>
      </c>
      <c r="D190" s="13">
        <v>2746</v>
      </c>
      <c r="E190" s="14">
        <v>7.71</v>
      </c>
      <c r="F190" s="15">
        <v>1.6999999999999999E-3</v>
      </c>
      <c r="G190" s="15"/>
    </row>
    <row r="191" spans="1:7" x14ac:dyDescent="0.35">
      <c r="A191" s="12" t="s">
        <v>1517</v>
      </c>
      <c r="B191" s="30" t="s">
        <v>1518</v>
      </c>
      <c r="C191" s="30" t="s">
        <v>943</v>
      </c>
      <c r="D191" s="13">
        <v>546</v>
      </c>
      <c r="E191" s="14">
        <v>7.52</v>
      </c>
      <c r="F191" s="15">
        <v>1.6000000000000001E-3</v>
      </c>
      <c r="G191" s="15"/>
    </row>
    <row r="192" spans="1:7" x14ac:dyDescent="0.35">
      <c r="A192" s="12" t="s">
        <v>1763</v>
      </c>
      <c r="B192" s="30" t="s">
        <v>1764</v>
      </c>
      <c r="C192" s="30" t="s">
        <v>908</v>
      </c>
      <c r="D192" s="13">
        <v>33</v>
      </c>
      <c r="E192" s="14">
        <v>7.5</v>
      </c>
      <c r="F192" s="15">
        <v>1.6000000000000001E-3</v>
      </c>
      <c r="G192" s="15"/>
    </row>
    <row r="193" spans="1:7" x14ac:dyDescent="0.35">
      <c r="A193" s="12" t="s">
        <v>1163</v>
      </c>
      <c r="B193" s="30" t="s">
        <v>1164</v>
      </c>
      <c r="C193" s="30" t="s">
        <v>958</v>
      </c>
      <c r="D193" s="13">
        <v>617</v>
      </c>
      <c r="E193" s="14">
        <v>7.5</v>
      </c>
      <c r="F193" s="15">
        <v>1.6000000000000001E-3</v>
      </c>
      <c r="G193" s="15"/>
    </row>
    <row r="194" spans="1:7" x14ac:dyDescent="0.35">
      <c r="A194" s="12" t="s">
        <v>1069</v>
      </c>
      <c r="B194" s="30" t="s">
        <v>1070</v>
      </c>
      <c r="C194" s="30" t="s">
        <v>1048</v>
      </c>
      <c r="D194" s="13">
        <v>191</v>
      </c>
      <c r="E194" s="14">
        <v>7.49</v>
      </c>
      <c r="F194" s="15">
        <v>1.6000000000000001E-3</v>
      </c>
      <c r="G194" s="15"/>
    </row>
    <row r="195" spans="1:7" x14ac:dyDescent="0.35">
      <c r="A195" s="12" t="s">
        <v>1765</v>
      </c>
      <c r="B195" s="30" t="s">
        <v>1766</v>
      </c>
      <c r="C195" s="30" t="s">
        <v>983</v>
      </c>
      <c r="D195" s="13">
        <v>1042</v>
      </c>
      <c r="E195" s="14">
        <v>7.44</v>
      </c>
      <c r="F195" s="15">
        <v>1.6000000000000001E-3</v>
      </c>
      <c r="G195" s="15"/>
    </row>
    <row r="196" spans="1:7" x14ac:dyDescent="0.35">
      <c r="A196" s="12" t="s">
        <v>981</v>
      </c>
      <c r="B196" s="30" t="s">
        <v>982</v>
      </c>
      <c r="C196" s="30" t="s">
        <v>983</v>
      </c>
      <c r="D196" s="13">
        <v>629</v>
      </c>
      <c r="E196" s="14">
        <v>7.36</v>
      </c>
      <c r="F196" s="15">
        <v>1.6000000000000001E-3</v>
      </c>
      <c r="G196" s="15"/>
    </row>
    <row r="197" spans="1:7" x14ac:dyDescent="0.35">
      <c r="A197" s="12" t="s">
        <v>1767</v>
      </c>
      <c r="B197" s="30" t="s">
        <v>1768</v>
      </c>
      <c r="C197" s="30" t="s">
        <v>943</v>
      </c>
      <c r="D197" s="13">
        <v>1200</v>
      </c>
      <c r="E197" s="14">
        <v>7.21</v>
      </c>
      <c r="F197" s="15">
        <v>1.6000000000000001E-3</v>
      </c>
      <c r="G197" s="15"/>
    </row>
    <row r="198" spans="1:7" x14ac:dyDescent="0.35">
      <c r="A198" s="12" t="s">
        <v>1176</v>
      </c>
      <c r="B198" s="30" t="s">
        <v>1177</v>
      </c>
      <c r="C198" s="30" t="s">
        <v>865</v>
      </c>
      <c r="D198" s="13">
        <v>2350</v>
      </c>
      <c r="E198" s="14">
        <v>7.14</v>
      </c>
      <c r="F198" s="15">
        <v>1.6000000000000001E-3</v>
      </c>
      <c r="G198" s="15"/>
    </row>
    <row r="199" spans="1:7" x14ac:dyDescent="0.35">
      <c r="A199" s="12" t="s">
        <v>1769</v>
      </c>
      <c r="B199" s="30" t="s">
        <v>1770</v>
      </c>
      <c r="C199" s="30" t="s">
        <v>1025</v>
      </c>
      <c r="D199" s="13">
        <v>722</v>
      </c>
      <c r="E199" s="14">
        <v>6.91</v>
      </c>
      <c r="F199" s="15">
        <v>1.5E-3</v>
      </c>
      <c r="G199" s="15"/>
    </row>
    <row r="200" spans="1:7" x14ac:dyDescent="0.35">
      <c r="A200" s="12" t="s">
        <v>989</v>
      </c>
      <c r="B200" s="30" t="s">
        <v>990</v>
      </c>
      <c r="C200" s="30" t="s">
        <v>885</v>
      </c>
      <c r="D200" s="13">
        <v>971</v>
      </c>
      <c r="E200" s="14">
        <v>6.89</v>
      </c>
      <c r="F200" s="15">
        <v>1.5E-3</v>
      </c>
      <c r="G200" s="15"/>
    </row>
    <row r="201" spans="1:7" x14ac:dyDescent="0.35">
      <c r="A201" s="12" t="s">
        <v>1617</v>
      </c>
      <c r="B201" s="30" t="s">
        <v>1618</v>
      </c>
      <c r="C201" s="30" t="s">
        <v>1048</v>
      </c>
      <c r="D201" s="13">
        <v>469</v>
      </c>
      <c r="E201" s="14">
        <v>6.8</v>
      </c>
      <c r="F201" s="15">
        <v>1.5E-3</v>
      </c>
      <c r="G201" s="15"/>
    </row>
    <row r="202" spans="1:7" x14ac:dyDescent="0.35">
      <c r="A202" s="12" t="s">
        <v>902</v>
      </c>
      <c r="B202" s="30" t="s">
        <v>903</v>
      </c>
      <c r="C202" s="30" t="s">
        <v>862</v>
      </c>
      <c r="D202" s="13">
        <v>4583</v>
      </c>
      <c r="E202" s="14">
        <v>6.77</v>
      </c>
      <c r="F202" s="15">
        <v>1.5E-3</v>
      </c>
      <c r="G202" s="15"/>
    </row>
    <row r="203" spans="1:7" x14ac:dyDescent="0.35">
      <c r="A203" s="12" t="s">
        <v>1771</v>
      </c>
      <c r="B203" s="30" t="s">
        <v>1772</v>
      </c>
      <c r="C203" s="30" t="s">
        <v>988</v>
      </c>
      <c r="D203" s="13">
        <v>6551</v>
      </c>
      <c r="E203" s="14">
        <v>6.68</v>
      </c>
      <c r="F203" s="15">
        <v>1.5E-3</v>
      </c>
      <c r="G203" s="15"/>
    </row>
    <row r="204" spans="1:7" x14ac:dyDescent="0.35">
      <c r="A204" s="12" t="s">
        <v>1773</v>
      </c>
      <c r="B204" s="30" t="s">
        <v>1774</v>
      </c>
      <c r="C204" s="30" t="s">
        <v>943</v>
      </c>
      <c r="D204" s="13">
        <v>119</v>
      </c>
      <c r="E204" s="14">
        <v>6.68</v>
      </c>
      <c r="F204" s="15">
        <v>1.5E-3</v>
      </c>
      <c r="G204" s="15"/>
    </row>
    <row r="205" spans="1:7" x14ac:dyDescent="0.35">
      <c r="A205" s="12" t="s">
        <v>1155</v>
      </c>
      <c r="B205" s="30" t="s">
        <v>1156</v>
      </c>
      <c r="C205" s="30" t="s">
        <v>1010</v>
      </c>
      <c r="D205" s="13">
        <v>1273</v>
      </c>
      <c r="E205" s="14">
        <v>6.68</v>
      </c>
      <c r="F205" s="15">
        <v>1.5E-3</v>
      </c>
      <c r="G205" s="15"/>
    </row>
    <row r="206" spans="1:7" x14ac:dyDescent="0.35">
      <c r="A206" s="12" t="s">
        <v>944</v>
      </c>
      <c r="B206" s="30" t="s">
        <v>945</v>
      </c>
      <c r="C206" s="30" t="s">
        <v>882</v>
      </c>
      <c r="D206" s="13">
        <v>1270</v>
      </c>
      <c r="E206" s="14">
        <v>6.64</v>
      </c>
      <c r="F206" s="15">
        <v>1.4E-3</v>
      </c>
      <c r="G206" s="15"/>
    </row>
    <row r="207" spans="1:7" x14ac:dyDescent="0.35">
      <c r="A207" s="12" t="s">
        <v>891</v>
      </c>
      <c r="B207" s="30" t="s">
        <v>892</v>
      </c>
      <c r="C207" s="30" t="s">
        <v>893</v>
      </c>
      <c r="D207" s="13">
        <v>733</v>
      </c>
      <c r="E207" s="14">
        <v>6.57</v>
      </c>
      <c r="F207" s="15">
        <v>1.4E-3</v>
      </c>
      <c r="G207" s="15"/>
    </row>
    <row r="208" spans="1:7" x14ac:dyDescent="0.35">
      <c r="A208" s="12" t="s">
        <v>1633</v>
      </c>
      <c r="B208" s="30" t="s">
        <v>1634</v>
      </c>
      <c r="C208" s="30" t="s">
        <v>931</v>
      </c>
      <c r="D208" s="13">
        <v>344</v>
      </c>
      <c r="E208" s="14">
        <v>6.56</v>
      </c>
      <c r="F208" s="15">
        <v>1.4E-3</v>
      </c>
      <c r="G208" s="15"/>
    </row>
    <row r="209" spans="1:7" x14ac:dyDescent="0.35">
      <c r="A209" s="12" t="s">
        <v>1204</v>
      </c>
      <c r="B209" s="30" t="s">
        <v>1205</v>
      </c>
      <c r="C209" s="30" t="s">
        <v>958</v>
      </c>
      <c r="D209" s="13">
        <v>409</v>
      </c>
      <c r="E209" s="14">
        <v>6.44</v>
      </c>
      <c r="F209" s="15">
        <v>1.4E-3</v>
      </c>
      <c r="G209" s="15"/>
    </row>
    <row r="210" spans="1:7" x14ac:dyDescent="0.35">
      <c r="A210" s="12" t="s">
        <v>979</v>
      </c>
      <c r="B210" s="30" t="s">
        <v>980</v>
      </c>
      <c r="C210" s="30" t="s">
        <v>888</v>
      </c>
      <c r="D210" s="13">
        <v>198</v>
      </c>
      <c r="E210" s="14">
        <v>6.42</v>
      </c>
      <c r="F210" s="15">
        <v>1.4E-3</v>
      </c>
      <c r="G210" s="15"/>
    </row>
    <row r="211" spans="1:7" x14ac:dyDescent="0.35">
      <c r="A211" s="12" t="s">
        <v>1513</v>
      </c>
      <c r="B211" s="30" t="s">
        <v>1514</v>
      </c>
      <c r="C211" s="30" t="s">
        <v>934</v>
      </c>
      <c r="D211" s="13">
        <v>219</v>
      </c>
      <c r="E211" s="14">
        <v>6.41</v>
      </c>
      <c r="F211" s="15">
        <v>1.4E-3</v>
      </c>
      <c r="G211" s="15"/>
    </row>
    <row r="212" spans="1:7" x14ac:dyDescent="0.35">
      <c r="A212" s="12" t="s">
        <v>1775</v>
      </c>
      <c r="B212" s="30" t="s">
        <v>1776</v>
      </c>
      <c r="C212" s="30" t="s">
        <v>865</v>
      </c>
      <c r="D212" s="13">
        <v>9387</v>
      </c>
      <c r="E212" s="14">
        <v>6.41</v>
      </c>
      <c r="F212" s="15">
        <v>1.4E-3</v>
      </c>
      <c r="G212" s="15"/>
    </row>
    <row r="213" spans="1:7" x14ac:dyDescent="0.35">
      <c r="A213" s="12" t="s">
        <v>1777</v>
      </c>
      <c r="B213" s="30" t="s">
        <v>1778</v>
      </c>
      <c r="C213" s="30" t="s">
        <v>943</v>
      </c>
      <c r="D213" s="13">
        <v>495</v>
      </c>
      <c r="E213" s="14">
        <v>6.41</v>
      </c>
      <c r="F213" s="15">
        <v>1.4E-3</v>
      </c>
      <c r="G213" s="15"/>
    </row>
    <row r="214" spans="1:7" x14ac:dyDescent="0.35">
      <c r="A214" s="12" t="s">
        <v>1637</v>
      </c>
      <c r="B214" s="30" t="s">
        <v>1638</v>
      </c>
      <c r="C214" s="30" t="s">
        <v>953</v>
      </c>
      <c r="D214" s="13">
        <v>61</v>
      </c>
      <c r="E214" s="14">
        <v>6.24</v>
      </c>
      <c r="F214" s="15">
        <v>1.4E-3</v>
      </c>
      <c r="G214" s="15"/>
    </row>
    <row r="215" spans="1:7" x14ac:dyDescent="0.35">
      <c r="A215" s="12" t="s">
        <v>1779</v>
      </c>
      <c r="B215" s="30" t="s">
        <v>1780</v>
      </c>
      <c r="C215" s="30" t="s">
        <v>953</v>
      </c>
      <c r="D215" s="13">
        <v>453</v>
      </c>
      <c r="E215" s="14">
        <v>6.13</v>
      </c>
      <c r="F215" s="15">
        <v>1.2999999999999999E-3</v>
      </c>
      <c r="G215" s="15"/>
    </row>
    <row r="216" spans="1:7" x14ac:dyDescent="0.35">
      <c r="A216" s="12" t="s">
        <v>1567</v>
      </c>
      <c r="B216" s="30" t="s">
        <v>1568</v>
      </c>
      <c r="C216" s="30" t="s">
        <v>1199</v>
      </c>
      <c r="D216" s="13">
        <v>1101</v>
      </c>
      <c r="E216" s="14">
        <v>6.08</v>
      </c>
      <c r="F216" s="15">
        <v>1.2999999999999999E-3</v>
      </c>
      <c r="G216" s="15"/>
    </row>
    <row r="217" spans="1:7" x14ac:dyDescent="0.35">
      <c r="A217" s="12" t="s">
        <v>1403</v>
      </c>
      <c r="B217" s="30" t="s">
        <v>1404</v>
      </c>
      <c r="C217" s="30" t="s">
        <v>995</v>
      </c>
      <c r="D217" s="13">
        <v>6637</v>
      </c>
      <c r="E217" s="14">
        <v>6.06</v>
      </c>
      <c r="F217" s="15">
        <v>1.2999999999999999E-3</v>
      </c>
      <c r="G217" s="15"/>
    </row>
    <row r="218" spans="1:7" x14ac:dyDescent="0.35">
      <c r="A218" s="12" t="s">
        <v>1781</v>
      </c>
      <c r="B218" s="30" t="s">
        <v>1782</v>
      </c>
      <c r="C218" s="30" t="s">
        <v>862</v>
      </c>
      <c r="D218" s="13">
        <v>10049</v>
      </c>
      <c r="E218" s="14">
        <v>6.05</v>
      </c>
      <c r="F218" s="15">
        <v>1.2999999999999999E-3</v>
      </c>
      <c r="G218" s="15"/>
    </row>
    <row r="219" spans="1:7" x14ac:dyDescent="0.35">
      <c r="A219" s="12" t="s">
        <v>1783</v>
      </c>
      <c r="B219" s="30" t="s">
        <v>1784</v>
      </c>
      <c r="C219" s="30" t="s">
        <v>1785</v>
      </c>
      <c r="D219" s="13">
        <v>1564</v>
      </c>
      <c r="E219" s="14">
        <v>6.04</v>
      </c>
      <c r="F219" s="15">
        <v>1.2999999999999999E-3</v>
      </c>
      <c r="G219" s="15"/>
    </row>
    <row r="220" spans="1:7" x14ac:dyDescent="0.35">
      <c r="A220" s="12" t="s">
        <v>1053</v>
      </c>
      <c r="B220" s="30" t="s">
        <v>1054</v>
      </c>
      <c r="C220" s="30" t="s">
        <v>1015</v>
      </c>
      <c r="D220" s="13">
        <v>1524</v>
      </c>
      <c r="E220" s="14">
        <v>5.88</v>
      </c>
      <c r="F220" s="15">
        <v>1.2999999999999999E-3</v>
      </c>
      <c r="G220" s="15"/>
    </row>
    <row r="221" spans="1:7" x14ac:dyDescent="0.35">
      <c r="A221" s="12" t="s">
        <v>1786</v>
      </c>
      <c r="B221" s="30" t="s">
        <v>1787</v>
      </c>
      <c r="C221" s="30" t="s">
        <v>1199</v>
      </c>
      <c r="D221" s="13">
        <v>16420</v>
      </c>
      <c r="E221" s="14">
        <v>5.79</v>
      </c>
      <c r="F221" s="15">
        <v>1.2999999999999999E-3</v>
      </c>
      <c r="G221" s="15"/>
    </row>
    <row r="222" spans="1:7" x14ac:dyDescent="0.35">
      <c r="A222" s="12" t="s">
        <v>1788</v>
      </c>
      <c r="B222" s="30" t="s">
        <v>1789</v>
      </c>
      <c r="C222" s="30" t="s">
        <v>922</v>
      </c>
      <c r="D222" s="13">
        <v>76</v>
      </c>
      <c r="E222" s="14">
        <v>5.77</v>
      </c>
      <c r="F222" s="15">
        <v>1.2999999999999999E-3</v>
      </c>
      <c r="G222" s="15"/>
    </row>
    <row r="223" spans="1:7" x14ac:dyDescent="0.35">
      <c r="A223" s="12" t="s">
        <v>1409</v>
      </c>
      <c r="B223" s="30" t="s">
        <v>1410</v>
      </c>
      <c r="C223" s="30" t="s">
        <v>885</v>
      </c>
      <c r="D223" s="13">
        <v>697</v>
      </c>
      <c r="E223" s="14">
        <v>5.76</v>
      </c>
      <c r="F223" s="15">
        <v>1.2999999999999999E-3</v>
      </c>
      <c r="G223" s="15"/>
    </row>
    <row r="224" spans="1:7" x14ac:dyDescent="0.35">
      <c r="A224" s="12" t="s">
        <v>1790</v>
      </c>
      <c r="B224" s="30" t="s">
        <v>1791</v>
      </c>
      <c r="C224" s="30" t="s">
        <v>937</v>
      </c>
      <c r="D224" s="13">
        <v>2088</v>
      </c>
      <c r="E224" s="14">
        <v>5.65</v>
      </c>
      <c r="F224" s="15">
        <v>1.1999999999999999E-3</v>
      </c>
      <c r="G224" s="15"/>
    </row>
    <row r="225" spans="1:7" x14ac:dyDescent="0.35">
      <c r="A225" s="12" t="s">
        <v>1792</v>
      </c>
      <c r="B225" s="30" t="s">
        <v>1793</v>
      </c>
      <c r="C225" s="30" t="s">
        <v>931</v>
      </c>
      <c r="D225" s="13">
        <v>184</v>
      </c>
      <c r="E225" s="14">
        <v>5.43</v>
      </c>
      <c r="F225" s="15">
        <v>1.1999999999999999E-3</v>
      </c>
      <c r="G225" s="15"/>
    </row>
    <row r="226" spans="1:7" x14ac:dyDescent="0.35">
      <c r="A226" s="12" t="s">
        <v>1794</v>
      </c>
      <c r="B226" s="30" t="s">
        <v>1795</v>
      </c>
      <c r="C226" s="30" t="s">
        <v>937</v>
      </c>
      <c r="D226" s="13">
        <v>1040</v>
      </c>
      <c r="E226" s="14">
        <v>5.37</v>
      </c>
      <c r="F226" s="15">
        <v>1.1999999999999999E-3</v>
      </c>
      <c r="G226" s="15"/>
    </row>
    <row r="227" spans="1:7" x14ac:dyDescent="0.35">
      <c r="A227" s="12" t="s">
        <v>1202</v>
      </c>
      <c r="B227" s="30" t="s">
        <v>1203</v>
      </c>
      <c r="C227" s="30" t="s">
        <v>1010</v>
      </c>
      <c r="D227" s="13">
        <v>328</v>
      </c>
      <c r="E227" s="14">
        <v>5.35</v>
      </c>
      <c r="F227" s="15">
        <v>1.1999999999999999E-3</v>
      </c>
      <c r="G227" s="15"/>
    </row>
    <row r="228" spans="1:7" x14ac:dyDescent="0.35">
      <c r="A228" s="12" t="s">
        <v>1796</v>
      </c>
      <c r="B228" s="30" t="s">
        <v>1797</v>
      </c>
      <c r="C228" s="30" t="s">
        <v>885</v>
      </c>
      <c r="D228" s="13">
        <v>23582</v>
      </c>
      <c r="E228" s="14">
        <v>5.34</v>
      </c>
      <c r="F228" s="15">
        <v>1.1999999999999999E-3</v>
      </c>
      <c r="G228" s="15"/>
    </row>
    <row r="229" spans="1:7" x14ac:dyDescent="0.35">
      <c r="A229" s="12" t="s">
        <v>1672</v>
      </c>
      <c r="B229" s="30" t="s">
        <v>1673</v>
      </c>
      <c r="C229" s="30" t="s">
        <v>911</v>
      </c>
      <c r="D229" s="13">
        <v>112</v>
      </c>
      <c r="E229" s="14">
        <v>5.31</v>
      </c>
      <c r="F229" s="15">
        <v>1.1999999999999999E-3</v>
      </c>
      <c r="G229" s="15"/>
    </row>
    <row r="230" spans="1:7" x14ac:dyDescent="0.35">
      <c r="A230" s="12" t="s">
        <v>875</v>
      </c>
      <c r="B230" s="30" t="s">
        <v>876</v>
      </c>
      <c r="C230" s="30" t="s">
        <v>877</v>
      </c>
      <c r="D230" s="13">
        <v>206</v>
      </c>
      <c r="E230" s="14">
        <v>5.21</v>
      </c>
      <c r="F230" s="15">
        <v>1.1000000000000001E-3</v>
      </c>
      <c r="G230" s="15"/>
    </row>
    <row r="231" spans="1:7" x14ac:dyDescent="0.35">
      <c r="A231" s="12" t="s">
        <v>1798</v>
      </c>
      <c r="B231" s="30" t="s">
        <v>1799</v>
      </c>
      <c r="C231" s="30" t="s">
        <v>974</v>
      </c>
      <c r="D231" s="13">
        <v>2640</v>
      </c>
      <c r="E231" s="14">
        <v>5.1100000000000003</v>
      </c>
      <c r="F231" s="15">
        <v>1.1000000000000001E-3</v>
      </c>
      <c r="G231" s="15"/>
    </row>
    <row r="232" spans="1:7" x14ac:dyDescent="0.35">
      <c r="A232" s="12" t="s">
        <v>1028</v>
      </c>
      <c r="B232" s="30" t="s">
        <v>1029</v>
      </c>
      <c r="C232" s="30" t="s">
        <v>908</v>
      </c>
      <c r="D232" s="13">
        <v>208</v>
      </c>
      <c r="E232" s="14">
        <v>4.97</v>
      </c>
      <c r="F232" s="15">
        <v>1.1000000000000001E-3</v>
      </c>
      <c r="G232" s="15"/>
    </row>
    <row r="233" spans="1:7" x14ac:dyDescent="0.35">
      <c r="A233" s="12" t="s">
        <v>1800</v>
      </c>
      <c r="B233" s="30" t="s">
        <v>1801</v>
      </c>
      <c r="C233" s="30" t="s">
        <v>1048</v>
      </c>
      <c r="D233" s="13">
        <v>7787</v>
      </c>
      <c r="E233" s="14">
        <v>4.91</v>
      </c>
      <c r="F233" s="15">
        <v>1.1000000000000001E-3</v>
      </c>
      <c r="G233" s="15"/>
    </row>
    <row r="234" spans="1:7" x14ac:dyDescent="0.35">
      <c r="A234" s="12" t="s">
        <v>1065</v>
      </c>
      <c r="B234" s="30" t="s">
        <v>1066</v>
      </c>
      <c r="C234" s="30" t="s">
        <v>983</v>
      </c>
      <c r="D234" s="13">
        <v>956</v>
      </c>
      <c r="E234" s="14">
        <v>4.8499999999999996</v>
      </c>
      <c r="F234" s="15">
        <v>1.1000000000000001E-3</v>
      </c>
      <c r="G234" s="15"/>
    </row>
    <row r="235" spans="1:7" x14ac:dyDescent="0.35">
      <c r="A235" s="12" t="s">
        <v>1802</v>
      </c>
      <c r="B235" s="30" t="s">
        <v>1803</v>
      </c>
      <c r="C235" s="30" t="s">
        <v>974</v>
      </c>
      <c r="D235" s="13">
        <v>650</v>
      </c>
      <c r="E235" s="14">
        <v>4.82</v>
      </c>
      <c r="F235" s="15">
        <v>1E-3</v>
      </c>
      <c r="G235" s="15"/>
    </row>
    <row r="236" spans="1:7" x14ac:dyDescent="0.35">
      <c r="A236" s="12" t="s">
        <v>1804</v>
      </c>
      <c r="B236" s="30" t="s">
        <v>1805</v>
      </c>
      <c r="C236" s="30" t="s">
        <v>922</v>
      </c>
      <c r="D236" s="13">
        <v>1310</v>
      </c>
      <c r="E236" s="14">
        <v>4.51</v>
      </c>
      <c r="F236" s="15">
        <v>1E-3</v>
      </c>
      <c r="G236" s="15"/>
    </row>
    <row r="237" spans="1:7" x14ac:dyDescent="0.35">
      <c r="A237" s="12" t="s">
        <v>1079</v>
      </c>
      <c r="B237" s="30" t="s">
        <v>1080</v>
      </c>
      <c r="C237" s="30" t="s">
        <v>862</v>
      </c>
      <c r="D237" s="13">
        <v>1864</v>
      </c>
      <c r="E237" s="14">
        <v>4.45</v>
      </c>
      <c r="F237" s="15">
        <v>1E-3</v>
      </c>
      <c r="G237" s="15"/>
    </row>
    <row r="238" spans="1:7" x14ac:dyDescent="0.35">
      <c r="A238" s="12" t="s">
        <v>920</v>
      </c>
      <c r="B238" s="30" t="s">
        <v>921</v>
      </c>
      <c r="C238" s="30" t="s">
        <v>922</v>
      </c>
      <c r="D238" s="13">
        <v>237</v>
      </c>
      <c r="E238" s="14">
        <v>4.22</v>
      </c>
      <c r="F238" s="15">
        <v>8.9999999999999998E-4</v>
      </c>
      <c r="G238" s="15"/>
    </row>
    <row r="239" spans="1:7" x14ac:dyDescent="0.35">
      <c r="A239" s="12" t="s">
        <v>1122</v>
      </c>
      <c r="B239" s="30" t="s">
        <v>1123</v>
      </c>
      <c r="C239" s="30" t="s">
        <v>911</v>
      </c>
      <c r="D239" s="13">
        <v>204</v>
      </c>
      <c r="E239" s="14">
        <v>4.04</v>
      </c>
      <c r="F239" s="15">
        <v>8.9999999999999998E-4</v>
      </c>
      <c r="G239" s="15"/>
    </row>
    <row r="240" spans="1:7" x14ac:dyDescent="0.35">
      <c r="A240" s="12" t="s">
        <v>1806</v>
      </c>
      <c r="B240" s="30" t="s">
        <v>1807</v>
      </c>
      <c r="C240" s="30" t="s">
        <v>943</v>
      </c>
      <c r="D240" s="13">
        <v>735</v>
      </c>
      <c r="E240" s="14">
        <v>4.04</v>
      </c>
      <c r="F240" s="15">
        <v>8.9999999999999998E-4</v>
      </c>
      <c r="G240" s="15"/>
    </row>
    <row r="241" spans="1:7" x14ac:dyDescent="0.35">
      <c r="A241" s="12" t="s">
        <v>1193</v>
      </c>
      <c r="B241" s="30" t="s">
        <v>1194</v>
      </c>
      <c r="C241" s="30" t="s">
        <v>943</v>
      </c>
      <c r="D241" s="13">
        <v>242</v>
      </c>
      <c r="E241" s="14">
        <v>3.99</v>
      </c>
      <c r="F241" s="15">
        <v>8.9999999999999998E-4</v>
      </c>
      <c r="G241" s="15"/>
    </row>
    <row r="242" spans="1:7" x14ac:dyDescent="0.35">
      <c r="A242" s="12" t="s">
        <v>1808</v>
      </c>
      <c r="B242" s="30" t="s">
        <v>1809</v>
      </c>
      <c r="C242" s="30" t="s">
        <v>983</v>
      </c>
      <c r="D242" s="13">
        <v>3166</v>
      </c>
      <c r="E242" s="14">
        <v>3.92</v>
      </c>
      <c r="F242" s="15">
        <v>8.9999999999999998E-4</v>
      </c>
      <c r="G242" s="15"/>
    </row>
    <row r="243" spans="1:7" x14ac:dyDescent="0.35">
      <c r="A243" s="12" t="s">
        <v>1810</v>
      </c>
      <c r="B243" s="30" t="s">
        <v>1811</v>
      </c>
      <c r="C243" s="30" t="s">
        <v>988</v>
      </c>
      <c r="D243" s="13">
        <v>2057</v>
      </c>
      <c r="E243" s="14">
        <v>3.82</v>
      </c>
      <c r="F243" s="15">
        <v>8.0000000000000004E-4</v>
      </c>
      <c r="G243" s="15"/>
    </row>
    <row r="244" spans="1:7" x14ac:dyDescent="0.35">
      <c r="A244" s="12" t="s">
        <v>1812</v>
      </c>
      <c r="B244" s="30" t="s">
        <v>1813</v>
      </c>
      <c r="C244" s="30" t="s">
        <v>983</v>
      </c>
      <c r="D244" s="13">
        <v>623</v>
      </c>
      <c r="E244" s="14">
        <v>3.76</v>
      </c>
      <c r="F244" s="15">
        <v>8.0000000000000004E-4</v>
      </c>
      <c r="G244" s="15"/>
    </row>
    <row r="245" spans="1:7" x14ac:dyDescent="0.35">
      <c r="A245" s="12" t="s">
        <v>1814</v>
      </c>
      <c r="B245" s="30" t="s">
        <v>1815</v>
      </c>
      <c r="C245" s="30" t="s">
        <v>931</v>
      </c>
      <c r="D245" s="13">
        <v>233</v>
      </c>
      <c r="E245" s="14">
        <v>3.66</v>
      </c>
      <c r="F245" s="15">
        <v>8.0000000000000004E-4</v>
      </c>
      <c r="G245" s="15"/>
    </row>
    <row r="246" spans="1:7" x14ac:dyDescent="0.35">
      <c r="A246" s="12" t="s">
        <v>1816</v>
      </c>
      <c r="B246" s="30" t="s">
        <v>1817</v>
      </c>
      <c r="C246" s="30" t="s">
        <v>1025</v>
      </c>
      <c r="D246" s="13">
        <v>824</v>
      </c>
      <c r="E246" s="14">
        <v>3.54</v>
      </c>
      <c r="F246" s="15">
        <v>8.0000000000000004E-4</v>
      </c>
      <c r="G246" s="15"/>
    </row>
    <row r="247" spans="1:7" x14ac:dyDescent="0.35">
      <c r="A247" s="12" t="s">
        <v>956</v>
      </c>
      <c r="B247" s="30" t="s">
        <v>957</v>
      </c>
      <c r="C247" s="30" t="s">
        <v>958</v>
      </c>
      <c r="D247" s="13">
        <v>598</v>
      </c>
      <c r="E247" s="14">
        <v>3.5</v>
      </c>
      <c r="F247" s="15">
        <v>8.0000000000000004E-4</v>
      </c>
      <c r="G247" s="15"/>
    </row>
    <row r="248" spans="1:7" x14ac:dyDescent="0.35">
      <c r="A248" s="12" t="s">
        <v>951</v>
      </c>
      <c r="B248" s="30" t="s">
        <v>952</v>
      </c>
      <c r="C248" s="30" t="s">
        <v>953</v>
      </c>
      <c r="D248" s="13">
        <v>21</v>
      </c>
      <c r="E248" s="14">
        <v>3.46</v>
      </c>
      <c r="F248" s="15">
        <v>8.0000000000000004E-4</v>
      </c>
      <c r="G248" s="15"/>
    </row>
    <row r="249" spans="1:7" x14ac:dyDescent="0.35">
      <c r="A249" s="12" t="s">
        <v>1818</v>
      </c>
      <c r="B249" s="30" t="s">
        <v>1819</v>
      </c>
      <c r="C249" s="30" t="s">
        <v>937</v>
      </c>
      <c r="D249" s="13">
        <v>163</v>
      </c>
      <c r="E249" s="14">
        <v>3.38</v>
      </c>
      <c r="F249" s="15">
        <v>6.9999999999999999E-4</v>
      </c>
      <c r="G249" s="15"/>
    </row>
    <row r="250" spans="1:7" x14ac:dyDescent="0.35">
      <c r="A250" s="12" t="s">
        <v>1511</v>
      </c>
      <c r="B250" s="30" t="s">
        <v>1512</v>
      </c>
      <c r="C250" s="30" t="s">
        <v>1010</v>
      </c>
      <c r="D250" s="13">
        <v>23</v>
      </c>
      <c r="E250" s="14">
        <v>3.24</v>
      </c>
      <c r="F250" s="15">
        <v>6.9999999999999999E-4</v>
      </c>
      <c r="G250" s="15"/>
    </row>
    <row r="251" spans="1:7" x14ac:dyDescent="0.35">
      <c r="A251" s="12" t="s">
        <v>1083</v>
      </c>
      <c r="B251" s="30" t="s">
        <v>1084</v>
      </c>
      <c r="C251" s="30" t="s">
        <v>943</v>
      </c>
      <c r="D251" s="13">
        <v>1123</v>
      </c>
      <c r="E251" s="14">
        <v>3.03</v>
      </c>
      <c r="F251" s="15">
        <v>6.9999999999999999E-4</v>
      </c>
      <c r="G251" s="15"/>
    </row>
    <row r="252" spans="1:7" x14ac:dyDescent="0.35">
      <c r="A252" s="12" t="s">
        <v>996</v>
      </c>
      <c r="B252" s="30" t="s">
        <v>997</v>
      </c>
      <c r="C252" s="30" t="s">
        <v>953</v>
      </c>
      <c r="D252" s="13">
        <v>4671</v>
      </c>
      <c r="E252" s="14">
        <v>3.01</v>
      </c>
      <c r="F252" s="15">
        <v>6.9999999999999999E-4</v>
      </c>
      <c r="G252" s="15"/>
    </row>
    <row r="253" spans="1:7" x14ac:dyDescent="0.35">
      <c r="A253" s="12" t="s">
        <v>1820</v>
      </c>
      <c r="B253" s="30" t="s">
        <v>1821</v>
      </c>
      <c r="C253" s="30" t="s">
        <v>983</v>
      </c>
      <c r="D253" s="13">
        <v>3186</v>
      </c>
      <c r="E253" s="14">
        <v>2.83</v>
      </c>
      <c r="F253" s="15">
        <v>5.9999999999999995E-4</v>
      </c>
      <c r="G253" s="15"/>
    </row>
    <row r="254" spans="1:7" x14ac:dyDescent="0.35">
      <c r="A254" s="12" t="s">
        <v>1674</v>
      </c>
      <c r="B254" s="30" t="s">
        <v>1675</v>
      </c>
      <c r="C254" s="30" t="s">
        <v>885</v>
      </c>
      <c r="D254" s="13">
        <v>267</v>
      </c>
      <c r="E254" s="14">
        <v>2.79</v>
      </c>
      <c r="F254" s="15">
        <v>5.9999999999999995E-4</v>
      </c>
      <c r="G254" s="15"/>
    </row>
    <row r="255" spans="1:7" x14ac:dyDescent="0.35">
      <c r="A255" s="12" t="s">
        <v>1450</v>
      </c>
      <c r="B255" s="30" t="s">
        <v>1451</v>
      </c>
      <c r="C255" s="30" t="s">
        <v>943</v>
      </c>
      <c r="D255" s="13">
        <v>146</v>
      </c>
      <c r="E255" s="14">
        <v>2.61</v>
      </c>
      <c r="F255" s="15">
        <v>5.9999999999999995E-4</v>
      </c>
      <c r="G255" s="15"/>
    </row>
    <row r="256" spans="1:7" x14ac:dyDescent="0.35">
      <c r="A256" s="12" t="s">
        <v>1822</v>
      </c>
      <c r="B256" s="30" t="s">
        <v>1823</v>
      </c>
      <c r="C256" s="30" t="s">
        <v>1048</v>
      </c>
      <c r="D256" s="13">
        <v>152</v>
      </c>
      <c r="E256" s="14">
        <v>1.75</v>
      </c>
      <c r="F256" s="15">
        <v>4.0000000000000002E-4</v>
      </c>
      <c r="G256" s="15"/>
    </row>
    <row r="257" spans="1:7" x14ac:dyDescent="0.35">
      <c r="A257" s="12" t="s">
        <v>1824</v>
      </c>
      <c r="B257" s="30" t="s">
        <v>1825</v>
      </c>
      <c r="C257" s="30" t="s">
        <v>1785</v>
      </c>
      <c r="D257" s="13">
        <v>224</v>
      </c>
      <c r="E257" s="14">
        <v>1.43</v>
      </c>
      <c r="F257" s="15">
        <v>2.9999999999999997E-4</v>
      </c>
      <c r="G257" s="15"/>
    </row>
    <row r="258" spans="1:7" x14ac:dyDescent="0.35">
      <c r="A258" s="16" t="s">
        <v>102</v>
      </c>
      <c r="B258" s="31"/>
      <c r="C258" s="31"/>
      <c r="D258" s="17"/>
      <c r="E258" s="37">
        <v>4574.66</v>
      </c>
      <c r="F258" s="38">
        <v>0.99629999999999996</v>
      </c>
      <c r="G258" s="20"/>
    </row>
    <row r="259" spans="1:7" x14ac:dyDescent="0.35">
      <c r="A259" s="16" t="s">
        <v>1206</v>
      </c>
      <c r="B259" s="30"/>
      <c r="C259" s="30"/>
      <c r="D259" s="13"/>
      <c r="E259" s="14"/>
      <c r="F259" s="15"/>
      <c r="G259" s="15"/>
    </row>
    <row r="260" spans="1:7" x14ac:dyDescent="0.35">
      <c r="A260" s="16" t="s">
        <v>102</v>
      </c>
      <c r="B260" s="30"/>
      <c r="C260" s="30"/>
      <c r="D260" s="13"/>
      <c r="E260" s="39" t="s">
        <v>96</v>
      </c>
      <c r="F260" s="40" t="s">
        <v>96</v>
      </c>
      <c r="G260" s="15"/>
    </row>
    <row r="261" spans="1:7" x14ac:dyDescent="0.35">
      <c r="A261" s="21" t="s">
        <v>129</v>
      </c>
      <c r="B261" s="32"/>
      <c r="C261" s="32"/>
      <c r="D261" s="22"/>
      <c r="E261" s="27">
        <v>4574.66</v>
      </c>
      <c r="F261" s="28">
        <v>0.99629999999999996</v>
      </c>
      <c r="G261" s="20"/>
    </row>
    <row r="262" spans="1:7" x14ac:dyDescent="0.35">
      <c r="A262" s="12"/>
      <c r="B262" s="30"/>
      <c r="C262" s="30"/>
      <c r="D262" s="13"/>
      <c r="E262" s="14"/>
      <c r="F262" s="15"/>
      <c r="G262" s="15"/>
    </row>
    <row r="263" spans="1:7" x14ac:dyDescent="0.35">
      <c r="A263" s="12"/>
      <c r="B263" s="30"/>
      <c r="C263" s="30"/>
      <c r="D263" s="13"/>
      <c r="E263" s="14"/>
      <c r="F263" s="15"/>
      <c r="G263" s="15"/>
    </row>
    <row r="264" spans="1:7" x14ac:dyDescent="0.35">
      <c r="A264" s="16" t="s">
        <v>130</v>
      </c>
      <c r="B264" s="30"/>
      <c r="C264" s="30"/>
      <c r="D264" s="13"/>
      <c r="E264" s="14"/>
      <c r="F264" s="15"/>
      <c r="G264" s="15"/>
    </row>
    <row r="265" spans="1:7" x14ac:dyDescent="0.35">
      <c r="A265" s="12" t="s">
        <v>131</v>
      </c>
      <c r="B265" s="30"/>
      <c r="C265" s="30"/>
      <c r="D265" s="13"/>
      <c r="E265" s="14">
        <v>33.99</v>
      </c>
      <c r="F265" s="15">
        <v>7.4000000000000003E-3</v>
      </c>
      <c r="G265" s="111">
        <v>6.1074000000000003E-2</v>
      </c>
    </row>
    <row r="266" spans="1:7" x14ac:dyDescent="0.35">
      <c r="A266" s="16" t="s">
        <v>102</v>
      </c>
      <c r="B266" s="31"/>
      <c r="C266" s="31"/>
      <c r="D266" s="17"/>
      <c r="E266" s="37">
        <v>33.99</v>
      </c>
      <c r="F266" s="38">
        <v>7.4000000000000003E-3</v>
      </c>
      <c r="G266" s="112"/>
    </row>
    <row r="267" spans="1:7" x14ac:dyDescent="0.35">
      <c r="A267" s="12"/>
      <c r="B267" s="30"/>
      <c r="C267" s="30"/>
      <c r="D267" s="13"/>
      <c r="E267" s="14"/>
      <c r="F267" s="15"/>
      <c r="G267" s="111"/>
    </row>
    <row r="268" spans="1:7" x14ac:dyDescent="0.35">
      <c r="A268" s="21" t="s">
        <v>129</v>
      </c>
      <c r="B268" s="32"/>
      <c r="C268" s="32"/>
      <c r="D268" s="22"/>
      <c r="E268" s="18">
        <v>33.99</v>
      </c>
      <c r="F268" s="19">
        <v>7.4000000000000003E-3</v>
      </c>
      <c r="G268" s="112"/>
    </row>
    <row r="269" spans="1:7" x14ac:dyDescent="0.35">
      <c r="A269" s="12" t="s">
        <v>132</v>
      </c>
      <c r="B269" s="30"/>
      <c r="C269" s="30"/>
      <c r="D269" s="13"/>
      <c r="E269" s="14">
        <v>5.6880999999999998E-3</v>
      </c>
      <c r="F269" s="15">
        <v>9.9999999999999995E-7</v>
      </c>
      <c r="G269" s="111"/>
    </row>
    <row r="270" spans="1:7" x14ac:dyDescent="0.35">
      <c r="A270" s="12" t="s">
        <v>133</v>
      </c>
      <c r="B270" s="30"/>
      <c r="C270" s="30"/>
      <c r="D270" s="13"/>
      <c r="E270" s="23">
        <v>-14.225688099999999</v>
      </c>
      <c r="F270" s="24">
        <v>-3.7009999999999999E-3</v>
      </c>
      <c r="G270" s="111">
        <v>6.1074000000000003E-2</v>
      </c>
    </row>
    <row r="271" spans="1:7" x14ac:dyDescent="0.35">
      <c r="A271" s="25" t="s">
        <v>134</v>
      </c>
      <c r="B271" s="33"/>
      <c r="C271" s="33"/>
      <c r="D271" s="26"/>
      <c r="E271" s="27">
        <v>4594.43</v>
      </c>
      <c r="F271" s="28">
        <v>1</v>
      </c>
      <c r="G271" s="28"/>
    </row>
    <row r="276" spans="1:7" x14ac:dyDescent="0.35">
      <c r="A276" s="1" t="s">
        <v>1981</v>
      </c>
    </row>
    <row r="277" spans="1:7" x14ac:dyDescent="0.35">
      <c r="A277" s="47" t="s">
        <v>1982</v>
      </c>
      <c r="B277" s="34" t="s">
        <v>96</v>
      </c>
    </row>
    <row r="278" spans="1:7" x14ac:dyDescent="0.35">
      <c r="A278" t="s">
        <v>1983</v>
      </c>
    </row>
    <row r="279" spans="1:7" x14ac:dyDescent="0.35">
      <c r="A279" t="s">
        <v>1984</v>
      </c>
      <c r="B279" t="s">
        <v>1985</v>
      </c>
      <c r="C279" t="s">
        <v>1985</v>
      </c>
    </row>
    <row r="280" spans="1:7" x14ac:dyDescent="0.35">
      <c r="B280" s="48">
        <v>44834</v>
      </c>
      <c r="C280" s="48">
        <v>44865</v>
      </c>
    </row>
    <row r="281" spans="1:7" x14ac:dyDescent="0.35">
      <c r="A281" t="s">
        <v>1989</v>
      </c>
      <c r="B281">
        <v>10.074400000000001</v>
      </c>
      <c r="C281">
        <v>10.3971</v>
      </c>
      <c r="E281" s="2"/>
      <c r="G281"/>
    </row>
    <row r="282" spans="1:7" x14ac:dyDescent="0.35">
      <c r="A282" t="s">
        <v>1990</v>
      </c>
      <c r="B282">
        <v>10.074400000000001</v>
      </c>
      <c r="C282">
        <v>10.3971</v>
      </c>
      <c r="E282" s="2"/>
      <c r="G282"/>
    </row>
    <row r="283" spans="1:7" x14ac:dyDescent="0.35">
      <c r="A283" t="s">
        <v>2014</v>
      </c>
      <c r="B283">
        <v>10.019500000000001</v>
      </c>
      <c r="C283">
        <v>10.3347</v>
      </c>
      <c r="E283" s="2"/>
      <c r="G283"/>
    </row>
    <row r="284" spans="1:7" x14ac:dyDescent="0.35">
      <c r="A284" t="s">
        <v>2015</v>
      </c>
      <c r="B284">
        <v>10.019</v>
      </c>
      <c r="C284">
        <v>10.334199999999999</v>
      </c>
      <c r="E284" s="2"/>
      <c r="G284"/>
    </row>
    <row r="285" spans="1:7" x14ac:dyDescent="0.35">
      <c r="E285" s="2"/>
      <c r="G285"/>
    </row>
    <row r="286" spans="1:7" x14ac:dyDescent="0.35">
      <c r="A286" t="s">
        <v>2000</v>
      </c>
      <c r="B286" s="34" t="s">
        <v>96</v>
      </c>
    </row>
    <row r="287" spans="1:7" x14ac:dyDescent="0.35">
      <c r="A287" t="s">
        <v>2001</v>
      </c>
      <c r="B287" s="34" t="s">
        <v>96</v>
      </c>
    </row>
    <row r="288" spans="1:7" ht="29" x14ac:dyDescent="0.35">
      <c r="A288" s="47" t="s">
        <v>2002</v>
      </c>
      <c r="B288" s="34" t="s">
        <v>96</v>
      </c>
    </row>
    <row r="289" spans="1:4" ht="29" x14ac:dyDescent="0.35">
      <c r="A289" s="47" t="s">
        <v>2003</v>
      </c>
      <c r="B289" s="34" t="s">
        <v>96</v>
      </c>
    </row>
    <row r="290" spans="1:4" x14ac:dyDescent="0.35">
      <c r="A290" t="s">
        <v>2033</v>
      </c>
      <c r="B290" s="49">
        <v>0.59215799999999996</v>
      </c>
    </row>
    <row r="291" spans="1:4" ht="43.5" x14ac:dyDescent="0.35">
      <c r="A291" s="47" t="s">
        <v>2005</v>
      </c>
      <c r="B291" s="34" t="s">
        <v>96</v>
      </c>
    </row>
    <row r="292" spans="1:4" ht="29" x14ac:dyDescent="0.35">
      <c r="A292" s="47" t="s">
        <v>2006</v>
      </c>
      <c r="B292" s="34" t="s">
        <v>96</v>
      </c>
    </row>
    <row r="293" spans="1:4" ht="29" x14ac:dyDescent="0.35">
      <c r="A293" s="47" t="s">
        <v>2009</v>
      </c>
      <c r="B293" s="34" t="s">
        <v>96</v>
      </c>
    </row>
    <row r="294" spans="1:4" ht="29" x14ac:dyDescent="0.35">
      <c r="A294" s="47" t="s">
        <v>2135</v>
      </c>
      <c r="B294" s="34" t="s">
        <v>96</v>
      </c>
    </row>
    <row r="295" spans="1:4" ht="29" x14ac:dyDescent="0.35">
      <c r="A295" s="47" t="s">
        <v>2136</v>
      </c>
      <c r="B295" s="34" t="s">
        <v>96</v>
      </c>
    </row>
    <row r="297" spans="1:4" ht="29" x14ac:dyDescent="0.35">
      <c r="A297" s="324" t="s">
        <v>2154</v>
      </c>
      <c r="B297" s="325" t="s">
        <v>2155</v>
      </c>
      <c r="C297" s="325" t="s">
        <v>2156</v>
      </c>
      <c r="D297" s="329" t="s">
        <v>2157</v>
      </c>
    </row>
    <row r="298" spans="1:4" ht="71.5" customHeight="1" x14ac:dyDescent="0.35">
      <c r="A298" s="328" t="s">
        <v>2207</v>
      </c>
      <c r="B298" s="326"/>
      <c r="C298" s="327" t="s">
        <v>2236</v>
      </c>
      <c r="D298" s="32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31DA-E6A9-4D08-AEC5-49ECBFD1B043}">
  <dimension ref="A1:H115"/>
  <sheetViews>
    <sheetView showGridLines="0" workbookViewId="0">
      <pane ySplit="4" topLeftCell="A112" activePane="bottomLeft" state="frozen"/>
      <selection activeCell="A2" sqref="A2:XFD2"/>
      <selection pane="bottomLeft" activeCell="C115" sqref="C115"/>
    </sheetView>
  </sheetViews>
  <sheetFormatPr defaultRowHeight="14.5" x14ac:dyDescent="0.35"/>
  <cols>
    <col min="1" max="1" width="50.453125" customWidth="1"/>
    <col min="2" max="2" width="21.7265625" customWidth="1"/>
    <col min="3" max="3" width="26.6328125" customWidth="1"/>
    <col min="4" max="4" width="21.7265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69</v>
      </c>
      <c r="B1" s="151"/>
      <c r="C1" s="151"/>
      <c r="D1" s="151"/>
      <c r="E1" s="151"/>
      <c r="F1" s="151"/>
      <c r="G1" s="151"/>
      <c r="H1" s="50" t="str">
        <f>HYPERLINK("[EDEL_Portfolio Monthly Notes 31-Oct-2022.xlsx]Index!A1","Index")</f>
        <v>Index</v>
      </c>
    </row>
    <row r="2" spans="1:8" ht="31" customHeight="1" x14ac:dyDescent="0.35">
      <c r="A2" s="151" t="s">
        <v>70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1405</v>
      </c>
      <c r="B8" s="30" t="s">
        <v>1406</v>
      </c>
      <c r="C8" s="30" t="s">
        <v>937</v>
      </c>
      <c r="D8" s="13">
        <v>207925</v>
      </c>
      <c r="E8" s="14">
        <v>5300.32</v>
      </c>
      <c r="F8" s="15">
        <v>5.28E-2</v>
      </c>
      <c r="G8" s="15"/>
    </row>
    <row r="9" spans="1:8" x14ac:dyDescent="0.35">
      <c r="A9" s="12" t="s">
        <v>1409</v>
      </c>
      <c r="B9" s="30" t="s">
        <v>1410</v>
      </c>
      <c r="C9" s="30" t="s">
        <v>885</v>
      </c>
      <c r="D9" s="13">
        <v>567948</v>
      </c>
      <c r="E9" s="14">
        <v>4694.9399999999996</v>
      </c>
      <c r="F9" s="15">
        <v>4.6699999999999998E-2</v>
      </c>
      <c r="G9" s="15"/>
    </row>
    <row r="10" spans="1:8" x14ac:dyDescent="0.35">
      <c r="A10" s="12" t="s">
        <v>1826</v>
      </c>
      <c r="B10" s="30" t="s">
        <v>1827</v>
      </c>
      <c r="C10" s="30" t="s">
        <v>877</v>
      </c>
      <c r="D10" s="13">
        <v>320000</v>
      </c>
      <c r="E10" s="14">
        <v>4271.84</v>
      </c>
      <c r="F10" s="15">
        <v>4.2500000000000003E-2</v>
      </c>
      <c r="G10" s="15"/>
    </row>
    <row r="11" spans="1:8" x14ac:dyDescent="0.35">
      <c r="A11" s="12" t="s">
        <v>1828</v>
      </c>
      <c r="B11" s="30" t="s">
        <v>1829</v>
      </c>
      <c r="C11" s="30" t="s">
        <v>958</v>
      </c>
      <c r="D11" s="13">
        <v>492425</v>
      </c>
      <c r="E11" s="14">
        <v>4267.3599999999997</v>
      </c>
      <c r="F11" s="15">
        <v>4.2500000000000003E-2</v>
      </c>
      <c r="G11" s="15"/>
    </row>
    <row r="12" spans="1:8" x14ac:dyDescent="0.35">
      <c r="A12" s="12" t="s">
        <v>1728</v>
      </c>
      <c r="B12" s="30" t="s">
        <v>1729</v>
      </c>
      <c r="C12" s="30" t="s">
        <v>953</v>
      </c>
      <c r="D12" s="13">
        <v>890000</v>
      </c>
      <c r="E12" s="14">
        <v>4142.0600000000004</v>
      </c>
      <c r="F12" s="15">
        <v>4.1200000000000001E-2</v>
      </c>
      <c r="G12" s="15"/>
    </row>
    <row r="13" spans="1:8" x14ac:dyDescent="0.35">
      <c r="A13" s="12" t="s">
        <v>1830</v>
      </c>
      <c r="B13" s="30" t="s">
        <v>1831</v>
      </c>
      <c r="C13" s="30" t="s">
        <v>877</v>
      </c>
      <c r="D13" s="13">
        <v>254000</v>
      </c>
      <c r="E13" s="14">
        <v>4076.19</v>
      </c>
      <c r="F13" s="15">
        <v>4.0599999999999997E-2</v>
      </c>
      <c r="G13" s="15"/>
    </row>
    <row r="14" spans="1:8" x14ac:dyDescent="0.35">
      <c r="A14" s="12" t="s">
        <v>1832</v>
      </c>
      <c r="B14" s="30" t="s">
        <v>1833</v>
      </c>
      <c r="C14" s="30" t="s">
        <v>1048</v>
      </c>
      <c r="D14" s="13">
        <v>285000</v>
      </c>
      <c r="E14" s="14">
        <v>3988.29</v>
      </c>
      <c r="F14" s="15">
        <v>3.9699999999999999E-2</v>
      </c>
      <c r="G14" s="15"/>
    </row>
    <row r="15" spans="1:8" x14ac:dyDescent="0.35">
      <c r="A15" s="12" t="s">
        <v>1617</v>
      </c>
      <c r="B15" s="30" t="s">
        <v>1618</v>
      </c>
      <c r="C15" s="30" t="s">
        <v>1048</v>
      </c>
      <c r="D15" s="13">
        <v>270000</v>
      </c>
      <c r="E15" s="14">
        <v>3912.44</v>
      </c>
      <c r="F15" s="15">
        <v>3.8899999999999997E-2</v>
      </c>
      <c r="G15" s="15"/>
    </row>
    <row r="16" spans="1:8" x14ac:dyDescent="0.35">
      <c r="A16" s="12" t="s">
        <v>1798</v>
      </c>
      <c r="B16" s="30" t="s">
        <v>1799</v>
      </c>
      <c r="C16" s="30" t="s">
        <v>974</v>
      </c>
      <c r="D16" s="13">
        <v>1800000</v>
      </c>
      <c r="E16" s="14">
        <v>3483.9</v>
      </c>
      <c r="F16" s="15">
        <v>3.4700000000000002E-2</v>
      </c>
      <c r="G16" s="15"/>
    </row>
    <row r="17" spans="1:7" x14ac:dyDescent="0.35">
      <c r="A17" s="12" t="s">
        <v>1834</v>
      </c>
      <c r="B17" s="30" t="s">
        <v>1835</v>
      </c>
      <c r="C17" s="30" t="s">
        <v>1836</v>
      </c>
      <c r="D17" s="13">
        <v>422570</v>
      </c>
      <c r="E17" s="14">
        <v>3288.65</v>
      </c>
      <c r="F17" s="15">
        <v>3.27E-2</v>
      </c>
      <c r="G17" s="15"/>
    </row>
    <row r="18" spans="1:7" x14ac:dyDescent="0.35">
      <c r="A18" s="12" t="s">
        <v>1837</v>
      </c>
      <c r="B18" s="30" t="s">
        <v>1838</v>
      </c>
      <c r="C18" s="30" t="s">
        <v>911</v>
      </c>
      <c r="D18" s="13">
        <v>250000</v>
      </c>
      <c r="E18" s="14">
        <v>3270.63</v>
      </c>
      <c r="F18" s="15">
        <v>3.2599999999999997E-2</v>
      </c>
      <c r="G18" s="15"/>
    </row>
    <row r="19" spans="1:7" x14ac:dyDescent="0.35">
      <c r="A19" s="12" t="s">
        <v>1759</v>
      </c>
      <c r="B19" s="30" t="s">
        <v>1760</v>
      </c>
      <c r="C19" s="30" t="s">
        <v>911</v>
      </c>
      <c r="D19" s="13">
        <v>328000</v>
      </c>
      <c r="E19" s="14">
        <v>3182.75</v>
      </c>
      <c r="F19" s="15">
        <v>3.1699999999999999E-2</v>
      </c>
      <c r="G19" s="15"/>
    </row>
    <row r="20" spans="1:7" x14ac:dyDescent="0.35">
      <c r="A20" s="12" t="s">
        <v>1450</v>
      </c>
      <c r="B20" s="30" t="s">
        <v>1451</v>
      </c>
      <c r="C20" s="30" t="s">
        <v>943</v>
      </c>
      <c r="D20" s="13">
        <v>167000</v>
      </c>
      <c r="E20" s="14">
        <v>2979.86</v>
      </c>
      <c r="F20" s="15">
        <v>2.9700000000000001E-2</v>
      </c>
      <c r="G20" s="15"/>
    </row>
    <row r="21" spans="1:7" x14ac:dyDescent="0.35">
      <c r="A21" s="12" t="s">
        <v>1839</v>
      </c>
      <c r="B21" s="30" t="s">
        <v>1840</v>
      </c>
      <c r="C21" s="30" t="s">
        <v>911</v>
      </c>
      <c r="D21" s="13">
        <v>710000</v>
      </c>
      <c r="E21" s="14">
        <v>2787.82</v>
      </c>
      <c r="F21" s="15">
        <v>2.7799999999999998E-2</v>
      </c>
      <c r="G21" s="15"/>
    </row>
    <row r="22" spans="1:7" x14ac:dyDescent="0.35">
      <c r="A22" s="12" t="s">
        <v>1757</v>
      </c>
      <c r="B22" s="30" t="s">
        <v>1758</v>
      </c>
      <c r="C22" s="30" t="s">
        <v>1175</v>
      </c>
      <c r="D22" s="13">
        <v>236000</v>
      </c>
      <c r="E22" s="14">
        <v>2724.62</v>
      </c>
      <c r="F22" s="15">
        <v>2.7099999999999999E-2</v>
      </c>
      <c r="G22" s="15"/>
    </row>
    <row r="23" spans="1:7" x14ac:dyDescent="0.35">
      <c r="A23" s="12" t="s">
        <v>1814</v>
      </c>
      <c r="B23" s="30" t="s">
        <v>1815</v>
      </c>
      <c r="C23" s="30" t="s">
        <v>931</v>
      </c>
      <c r="D23" s="13">
        <v>165000</v>
      </c>
      <c r="E23" s="14">
        <v>2594.13</v>
      </c>
      <c r="F23" s="15">
        <v>2.58E-2</v>
      </c>
      <c r="G23" s="15"/>
    </row>
    <row r="24" spans="1:7" x14ac:dyDescent="0.35">
      <c r="A24" s="12" t="s">
        <v>1765</v>
      </c>
      <c r="B24" s="30" t="s">
        <v>1766</v>
      </c>
      <c r="C24" s="30" t="s">
        <v>983</v>
      </c>
      <c r="D24" s="13">
        <v>330000</v>
      </c>
      <c r="E24" s="14">
        <v>2354.7199999999998</v>
      </c>
      <c r="F24" s="15">
        <v>2.3400000000000001E-2</v>
      </c>
      <c r="G24" s="15"/>
    </row>
    <row r="25" spans="1:7" x14ac:dyDescent="0.35">
      <c r="A25" s="12" t="s">
        <v>1822</v>
      </c>
      <c r="B25" s="30" t="s">
        <v>1823</v>
      </c>
      <c r="C25" s="30" t="s">
        <v>1048</v>
      </c>
      <c r="D25" s="13">
        <v>200000</v>
      </c>
      <c r="E25" s="14">
        <v>2305.5</v>
      </c>
      <c r="F25" s="15">
        <v>2.3E-2</v>
      </c>
      <c r="G25" s="15"/>
    </row>
    <row r="26" spans="1:7" x14ac:dyDescent="0.35">
      <c r="A26" s="12" t="s">
        <v>1841</v>
      </c>
      <c r="B26" s="30" t="s">
        <v>1842</v>
      </c>
      <c r="C26" s="30" t="s">
        <v>1057</v>
      </c>
      <c r="D26" s="13">
        <v>137367</v>
      </c>
      <c r="E26" s="14">
        <v>2040.38</v>
      </c>
      <c r="F26" s="15">
        <v>2.0299999999999999E-2</v>
      </c>
      <c r="G26" s="15"/>
    </row>
    <row r="27" spans="1:7" x14ac:dyDescent="0.35">
      <c r="A27" s="12" t="s">
        <v>1079</v>
      </c>
      <c r="B27" s="30" t="s">
        <v>1080</v>
      </c>
      <c r="C27" s="30" t="s">
        <v>862</v>
      </c>
      <c r="D27" s="13">
        <v>781893</v>
      </c>
      <c r="E27" s="14">
        <v>1865.21</v>
      </c>
      <c r="F27" s="15">
        <v>1.8599999999999998E-2</v>
      </c>
      <c r="G27" s="15"/>
    </row>
    <row r="28" spans="1:7" x14ac:dyDescent="0.35">
      <c r="A28" s="12" t="s">
        <v>1843</v>
      </c>
      <c r="B28" s="30" t="s">
        <v>1844</v>
      </c>
      <c r="C28" s="30" t="s">
        <v>885</v>
      </c>
      <c r="D28" s="13">
        <v>560000</v>
      </c>
      <c r="E28" s="14">
        <v>1767.92</v>
      </c>
      <c r="F28" s="15">
        <v>1.7600000000000001E-2</v>
      </c>
      <c r="G28" s="15"/>
    </row>
    <row r="29" spans="1:7" x14ac:dyDescent="0.35">
      <c r="A29" s="12" t="s">
        <v>1845</v>
      </c>
      <c r="B29" s="30" t="s">
        <v>1846</v>
      </c>
      <c r="C29" s="30" t="s">
        <v>943</v>
      </c>
      <c r="D29" s="13">
        <v>179635</v>
      </c>
      <c r="E29" s="14">
        <v>1705.54</v>
      </c>
      <c r="F29" s="15">
        <v>1.7000000000000001E-2</v>
      </c>
      <c r="G29" s="15"/>
    </row>
    <row r="30" spans="1:7" x14ac:dyDescent="0.35">
      <c r="A30" s="12" t="s">
        <v>1419</v>
      </c>
      <c r="B30" s="30" t="s">
        <v>1420</v>
      </c>
      <c r="C30" s="30" t="s">
        <v>885</v>
      </c>
      <c r="D30" s="13">
        <v>173309</v>
      </c>
      <c r="E30" s="14">
        <v>1690.11</v>
      </c>
      <c r="F30" s="15">
        <v>1.6799999999999999E-2</v>
      </c>
      <c r="G30" s="15"/>
    </row>
    <row r="31" spans="1:7" x14ac:dyDescent="0.35">
      <c r="A31" s="12" t="s">
        <v>1847</v>
      </c>
      <c r="B31" s="30" t="s">
        <v>1848</v>
      </c>
      <c r="C31" s="30" t="s">
        <v>908</v>
      </c>
      <c r="D31" s="13">
        <v>410000</v>
      </c>
      <c r="E31" s="14">
        <v>1625.65</v>
      </c>
      <c r="F31" s="15">
        <v>1.6199999999999999E-2</v>
      </c>
      <c r="G31" s="15"/>
    </row>
    <row r="32" spans="1:7" x14ac:dyDescent="0.35">
      <c r="A32" s="12" t="s">
        <v>1849</v>
      </c>
      <c r="B32" s="30" t="s">
        <v>1850</v>
      </c>
      <c r="C32" s="30" t="s">
        <v>1022</v>
      </c>
      <c r="D32" s="13">
        <v>126782</v>
      </c>
      <c r="E32" s="14">
        <v>1547.25</v>
      </c>
      <c r="F32" s="15">
        <v>1.54E-2</v>
      </c>
      <c r="G32" s="15"/>
    </row>
    <row r="33" spans="1:7" x14ac:dyDescent="0.35">
      <c r="A33" s="12" t="s">
        <v>1851</v>
      </c>
      <c r="B33" s="30" t="s">
        <v>1852</v>
      </c>
      <c r="C33" s="30" t="s">
        <v>931</v>
      </c>
      <c r="D33" s="13">
        <v>150784</v>
      </c>
      <c r="E33" s="14">
        <v>1345.97</v>
      </c>
      <c r="F33" s="15">
        <v>1.34E-2</v>
      </c>
      <c r="G33" s="15"/>
    </row>
    <row r="34" spans="1:7" x14ac:dyDescent="0.35">
      <c r="A34" s="12" t="s">
        <v>1853</v>
      </c>
      <c r="B34" s="30" t="s">
        <v>1854</v>
      </c>
      <c r="C34" s="30" t="s">
        <v>958</v>
      </c>
      <c r="D34" s="13">
        <v>90000</v>
      </c>
      <c r="E34" s="14">
        <v>1299.42</v>
      </c>
      <c r="F34" s="15">
        <v>1.29E-2</v>
      </c>
      <c r="G34" s="15"/>
    </row>
    <row r="35" spans="1:7" x14ac:dyDescent="0.35">
      <c r="A35" s="12" t="s">
        <v>1855</v>
      </c>
      <c r="B35" s="30" t="s">
        <v>1856</v>
      </c>
      <c r="C35" s="30" t="s">
        <v>988</v>
      </c>
      <c r="D35" s="13">
        <v>1100000</v>
      </c>
      <c r="E35" s="14">
        <v>1280.95</v>
      </c>
      <c r="F35" s="15">
        <v>1.2800000000000001E-2</v>
      </c>
      <c r="G35" s="15"/>
    </row>
    <row r="36" spans="1:7" x14ac:dyDescent="0.35">
      <c r="A36" s="12" t="s">
        <v>1783</v>
      </c>
      <c r="B36" s="30" t="s">
        <v>1784</v>
      </c>
      <c r="C36" s="30" t="s">
        <v>1785</v>
      </c>
      <c r="D36" s="13">
        <v>330000</v>
      </c>
      <c r="E36" s="14">
        <v>1273.97</v>
      </c>
      <c r="F36" s="15">
        <v>1.2699999999999999E-2</v>
      </c>
      <c r="G36" s="15"/>
    </row>
    <row r="37" spans="1:7" x14ac:dyDescent="0.35">
      <c r="A37" s="12" t="s">
        <v>1621</v>
      </c>
      <c r="B37" s="30" t="s">
        <v>1622</v>
      </c>
      <c r="C37" s="30" t="s">
        <v>953</v>
      </c>
      <c r="D37" s="13">
        <v>62767</v>
      </c>
      <c r="E37" s="14">
        <v>1268.6199999999999</v>
      </c>
      <c r="F37" s="15">
        <v>1.26E-2</v>
      </c>
      <c r="G37" s="15"/>
    </row>
    <row r="38" spans="1:7" x14ac:dyDescent="0.35">
      <c r="A38" s="12" t="s">
        <v>1730</v>
      </c>
      <c r="B38" s="30" t="s">
        <v>1731</v>
      </c>
      <c r="C38" s="30" t="s">
        <v>885</v>
      </c>
      <c r="D38" s="13">
        <v>60869</v>
      </c>
      <c r="E38" s="14">
        <v>1228.82</v>
      </c>
      <c r="F38" s="15">
        <v>1.2200000000000001E-2</v>
      </c>
      <c r="G38" s="15"/>
    </row>
    <row r="39" spans="1:7" x14ac:dyDescent="0.35">
      <c r="A39" s="12" t="s">
        <v>1857</v>
      </c>
      <c r="B39" s="30" t="s">
        <v>1858</v>
      </c>
      <c r="C39" s="30" t="s">
        <v>1048</v>
      </c>
      <c r="D39" s="13">
        <v>184941</v>
      </c>
      <c r="E39" s="14">
        <v>1096.1500000000001</v>
      </c>
      <c r="F39" s="15">
        <v>1.09E-2</v>
      </c>
      <c r="G39" s="15"/>
    </row>
    <row r="40" spans="1:7" x14ac:dyDescent="0.35">
      <c r="A40" s="12" t="s">
        <v>1859</v>
      </c>
      <c r="B40" s="30" t="s">
        <v>1860</v>
      </c>
      <c r="C40" s="30" t="s">
        <v>931</v>
      </c>
      <c r="D40" s="13">
        <v>112226</v>
      </c>
      <c r="E40" s="14">
        <v>1084.3800000000001</v>
      </c>
      <c r="F40" s="15">
        <v>1.0800000000000001E-2</v>
      </c>
      <c r="G40" s="15"/>
    </row>
    <row r="41" spans="1:7" x14ac:dyDescent="0.35">
      <c r="A41" s="12" t="s">
        <v>1861</v>
      </c>
      <c r="B41" s="30" t="s">
        <v>1862</v>
      </c>
      <c r="C41" s="30" t="s">
        <v>1540</v>
      </c>
      <c r="D41" s="13">
        <v>373098</v>
      </c>
      <c r="E41" s="14">
        <v>1025.0899999999999</v>
      </c>
      <c r="F41" s="15">
        <v>1.0200000000000001E-2</v>
      </c>
      <c r="G41" s="15"/>
    </row>
    <row r="42" spans="1:7" x14ac:dyDescent="0.35">
      <c r="A42" s="12" t="s">
        <v>1863</v>
      </c>
      <c r="B42" s="30" t="s">
        <v>1864</v>
      </c>
      <c r="C42" s="30" t="s">
        <v>885</v>
      </c>
      <c r="D42" s="13">
        <v>140000</v>
      </c>
      <c r="E42" s="14">
        <v>1016.75</v>
      </c>
      <c r="F42" s="15">
        <v>1.01E-2</v>
      </c>
      <c r="G42" s="15"/>
    </row>
    <row r="43" spans="1:7" x14ac:dyDescent="0.35">
      <c r="A43" s="12" t="s">
        <v>1106</v>
      </c>
      <c r="B43" s="30" t="s">
        <v>1107</v>
      </c>
      <c r="C43" s="30" t="s">
        <v>983</v>
      </c>
      <c r="D43" s="13">
        <v>79250</v>
      </c>
      <c r="E43" s="14">
        <v>1003.27</v>
      </c>
      <c r="F43" s="15">
        <v>0.01</v>
      </c>
      <c r="G43" s="15"/>
    </row>
    <row r="44" spans="1:7" x14ac:dyDescent="0.35">
      <c r="A44" s="12" t="s">
        <v>1865</v>
      </c>
      <c r="B44" s="30" t="s">
        <v>1866</v>
      </c>
      <c r="C44" s="30" t="s">
        <v>953</v>
      </c>
      <c r="D44" s="13">
        <v>30373</v>
      </c>
      <c r="E44" s="14">
        <v>954.49</v>
      </c>
      <c r="F44" s="15">
        <v>9.4999999999999998E-3</v>
      </c>
      <c r="G44" s="15"/>
    </row>
    <row r="45" spans="1:7" x14ac:dyDescent="0.35">
      <c r="A45" s="12" t="s">
        <v>1867</v>
      </c>
      <c r="B45" s="30" t="s">
        <v>1868</v>
      </c>
      <c r="C45" s="30" t="s">
        <v>1057</v>
      </c>
      <c r="D45" s="13">
        <v>200000</v>
      </c>
      <c r="E45" s="14">
        <v>874.2</v>
      </c>
      <c r="F45" s="15">
        <v>8.6999999999999994E-3</v>
      </c>
      <c r="G45" s="15"/>
    </row>
    <row r="46" spans="1:7" x14ac:dyDescent="0.35">
      <c r="A46" s="12" t="s">
        <v>1869</v>
      </c>
      <c r="B46" s="30" t="s">
        <v>1870</v>
      </c>
      <c r="C46" s="30" t="s">
        <v>937</v>
      </c>
      <c r="D46" s="13">
        <v>200000</v>
      </c>
      <c r="E46" s="14">
        <v>815.6</v>
      </c>
      <c r="F46" s="15">
        <v>8.0999999999999996E-3</v>
      </c>
      <c r="G46" s="15"/>
    </row>
    <row r="47" spans="1:7" x14ac:dyDescent="0.35">
      <c r="A47" s="12" t="s">
        <v>1871</v>
      </c>
      <c r="B47" s="30" t="s">
        <v>1872</v>
      </c>
      <c r="C47" s="30" t="s">
        <v>1025</v>
      </c>
      <c r="D47" s="13">
        <v>155000</v>
      </c>
      <c r="E47" s="14">
        <v>785.62</v>
      </c>
      <c r="F47" s="15">
        <v>7.7999999999999996E-3</v>
      </c>
      <c r="G47" s="15"/>
    </row>
    <row r="48" spans="1:7" x14ac:dyDescent="0.35">
      <c r="A48" s="12" t="s">
        <v>1873</v>
      </c>
      <c r="B48" s="30" t="s">
        <v>1874</v>
      </c>
      <c r="C48" s="30" t="s">
        <v>958</v>
      </c>
      <c r="D48" s="13">
        <v>98475</v>
      </c>
      <c r="E48" s="14">
        <v>569.23</v>
      </c>
      <c r="F48" s="15">
        <v>5.7000000000000002E-3</v>
      </c>
      <c r="G48" s="15"/>
    </row>
    <row r="49" spans="1:7" x14ac:dyDescent="0.35">
      <c r="A49" s="12" t="s">
        <v>1875</v>
      </c>
      <c r="B49" s="30" t="s">
        <v>1876</v>
      </c>
      <c r="C49" s="30" t="s">
        <v>1199</v>
      </c>
      <c r="D49" s="13">
        <v>83779</v>
      </c>
      <c r="E49" s="14">
        <v>512.30999999999995</v>
      </c>
      <c r="F49" s="15">
        <v>5.1000000000000004E-3</v>
      </c>
      <c r="G49" s="15"/>
    </row>
    <row r="50" spans="1:7" x14ac:dyDescent="0.35">
      <c r="A50" s="12" t="s">
        <v>1877</v>
      </c>
      <c r="B50" s="30" t="s">
        <v>1878</v>
      </c>
      <c r="C50" s="30" t="s">
        <v>974</v>
      </c>
      <c r="D50" s="13">
        <v>377924</v>
      </c>
      <c r="E50" s="14">
        <v>459.56</v>
      </c>
      <c r="F50" s="15">
        <v>4.5999999999999999E-3</v>
      </c>
      <c r="G50" s="15"/>
    </row>
    <row r="51" spans="1:7" x14ac:dyDescent="0.35">
      <c r="A51" s="12" t="s">
        <v>1879</v>
      </c>
      <c r="B51" s="30" t="s">
        <v>1880</v>
      </c>
      <c r="C51" s="30" t="s">
        <v>1057</v>
      </c>
      <c r="D51" s="13">
        <v>90000</v>
      </c>
      <c r="E51" s="14">
        <v>425.84</v>
      </c>
      <c r="F51" s="15">
        <v>4.1999999999999997E-3</v>
      </c>
      <c r="G51" s="15"/>
    </row>
    <row r="52" spans="1:7" x14ac:dyDescent="0.35">
      <c r="A52" s="16" t="s">
        <v>102</v>
      </c>
      <c r="B52" s="31"/>
      <c r="C52" s="31"/>
      <c r="D52" s="17"/>
      <c r="E52" s="37">
        <v>94188.32</v>
      </c>
      <c r="F52" s="38">
        <v>0.93759999999999999</v>
      </c>
      <c r="G52" s="20"/>
    </row>
    <row r="53" spans="1:7" x14ac:dyDescent="0.35">
      <c r="A53" s="16" t="s">
        <v>1206</v>
      </c>
      <c r="B53" s="30"/>
      <c r="C53" s="30"/>
      <c r="D53" s="13"/>
      <c r="E53" s="14"/>
      <c r="F53" s="15"/>
      <c r="G53" s="15"/>
    </row>
    <row r="54" spans="1:7" x14ac:dyDescent="0.35">
      <c r="A54" s="16" t="s">
        <v>102</v>
      </c>
      <c r="B54" s="30"/>
      <c r="C54" s="30"/>
      <c r="D54" s="13"/>
      <c r="E54" s="39" t="s">
        <v>96</v>
      </c>
      <c r="F54" s="40" t="s">
        <v>96</v>
      </c>
      <c r="G54" s="15"/>
    </row>
    <row r="55" spans="1:7" x14ac:dyDescent="0.35">
      <c r="A55" s="21" t="s">
        <v>129</v>
      </c>
      <c r="B55" s="32"/>
      <c r="C55" s="32"/>
      <c r="D55" s="22"/>
      <c r="E55" s="27">
        <v>94188.32</v>
      </c>
      <c r="F55" s="28">
        <v>0.93759999999999999</v>
      </c>
      <c r="G55" s="20"/>
    </row>
    <row r="56" spans="1:7" x14ac:dyDescent="0.35">
      <c r="A56" s="12"/>
      <c r="B56" s="30"/>
      <c r="C56" s="30"/>
      <c r="D56" s="13"/>
      <c r="E56" s="14"/>
      <c r="F56" s="15"/>
      <c r="G56" s="15"/>
    </row>
    <row r="57" spans="1:7" x14ac:dyDescent="0.35">
      <c r="A57" s="16" t="s">
        <v>1207</v>
      </c>
      <c r="B57" s="30"/>
      <c r="C57" s="30"/>
      <c r="D57" s="13"/>
      <c r="E57" s="14"/>
      <c r="F57" s="15"/>
      <c r="G57" s="15"/>
    </row>
    <row r="58" spans="1:7" x14ac:dyDescent="0.35">
      <c r="A58" s="16" t="s">
        <v>1208</v>
      </c>
      <c r="B58" s="30"/>
      <c r="C58" s="30"/>
      <c r="D58" s="13"/>
      <c r="E58" s="14"/>
      <c r="F58" s="15"/>
      <c r="G58" s="15"/>
    </row>
    <row r="59" spans="1:7" x14ac:dyDescent="0.35">
      <c r="A59" s="12" t="s">
        <v>1881</v>
      </c>
      <c r="B59" s="30"/>
      <c r="C59" s="30" t="s">
        <v>940</v>
      </c>
      <c r="D59" s="13">
        <v>54900</v>
      </c>
      <c r="E59" s="14">
        <v>1526.82</v>
      </c>
      <c r="F59" s="15">
        <v>1.5199000000000001E-2</v>
      </c>
      <c r="G59" s="15"/>
    </row>
    <row r="60" spans="1:7" x14ac:dyDescent="0.35">
      <c r="A60" s="12" t="s">
        <v>1470</v>
      </c>
      <c r="B60" s="30"/>
      <c r="C60" s="30" t="s">
        <v>1471</v>
      </c>
      <c r="D60" s="13">
        <v>7950</v>
      </c>
      <c r="E60" s="14">
        <v>1435.06</v>
      </c>
      <c r="F60" s="15">
        <v>1.4286E-2</v>
      </c>
      <c r="G60" s="15"/>
    </row>
    <row r="61" spans="1:7" x14ac:dyDescent="0.35">
      <c r="A61" s="12" t="s">
        <v>1270</v>
      </c>
      <c r="B61" s="30"/>
      <c r="C61" s="30" t="s">
        <v>862</v>
      </c>
      <c r="D61" s="13">
        <v>198000</v>
      </c>
      <c r="E61" s="14">
        <v>475.1</v>
      </c>
      <c r="F61" s="15">
        <v>4.7289999999999997E-3</v>
      </c>
      <c r="G61" s="15"/>
    </row>
    <row r="62" spans="1:7" x14ac:dyDescent="0.35">
      <c r="A62" s="12" t="s">
        <v>1257</v>
      </c>
      <c r="B62" s="30"/>
      <c r="C62" s="30" t="s">
        <v>983</v>
      </c>
      <c r="D62" s="13">
        <v>15750</v>
      </c>
      <c r="E62" s="14">
        <v>200.46</v>
      </c>
      <c r="F62" s="15">
        <v>1.9949999999999998E-3</v>
      </c>
      <c r="G62" s="15"/>
    </row>
    <row r="63" spans="1:7" x14ac:dyDescent="0.35">
      <c r="A63" s="12" t="s">
        <v>1882</v>
      </c>
      <c r="B63" s="30"/>
      <c r="C63" s="30" t="s">
        <v>885</v>
      </c>
      <c r="D63" s="13">
        <v>4800</v>
      </c>
      <c r="E63" s="14">
        <v>39.86</v>
      </c>
      <c r="F63" s="15">
        <v>3.9599999999999998E-4</v>
      </c>
      <c r="G63" s="15"/>
    </row>
    <row r="64" spans="1:7" x14ac:dyDescent="0.35">
      <c r="A64" s="16" t="s">
        <v>102</v>
      </c>
      <c r="B64" s="31"/>
      <c r="C64" s="31"/>
      <c r="D64" s="17"/>
      <c r="E64" s="37">
        <v>3677.3</v>
      </c>
      <c r="F64" s="38">
        <v>3.6604999999999999E-2</v>
      </c>
      <c r="G64" s="20"/>
    </row>
    <row r="65" spans="1:7" x14ac:dyDescent="0.35">
      <c r="A65" s="12"/>
      <c r="B65" s="30"/>
      <c r="C65" s="30"/>
      <c r="D65" s="13"/>
      <c r="E65" s="14"/>
      <c r="F65" s="15"/>
      <c r="G65" s="15"/>
    </row>
    <row r="66" spans="1:7" x14ac:dyDescent="0.35">
      <c r="A66" s="12"/>
      <c r="B66" s="30"/>
      <c r="C66" s="30"/>
      <c r="D66" s="13"/>
      <c r="E66" s="14"/>
      <c r="F66" s="15"/>
      <c r="G66" s="15"/>
    </row>
    <row r="67" spans="1:7" x14ac:dyDescent="0.35">
      <c r="A67" s="12"/>
      <c r="B67" s="30"/>
      <c r="C67" s="30"/>
      <c r="D67" s="13"/>
      <c r="E67" s="14"/>
      <c r="F67" s="15"/>
      <c r="G67" s="15"/>
    </row>
    <row r="68" spans="1:7" x14ac:dyDescent="0.35">
      <c r="A68" s="21" t="s">
        <v>129</v>
      </c>
      <c r="B68" s="32"/>
      <c r="C68" s="32"/>
      <c r="D68" s="22"/>
      <c r="E68" s="18">
        <v>3677.3</v>
      </c>
      <c r="F68" s="19">
        <v>3.6604999999999999E-2</v>
      </c>
      <c r="G68" s="20"/>
    </row>
    <row r="69" spans="1:7" x14ac:dyDescent="0.35">
      <c r="A69" s="12"/>
      <c r="B69" s="30"/>
      <c r="C69" s="30"/>
      <c r="D69" s="13"/>
      <c r="E69" s="14"/>
      <c r="F69" s="15"/>
      <c r="G69" s="15"/>
    </row>
    <row r="70" spans="1:7" x14ac:dyDescent="0.35">
      <c r="A70" s="16" t="s">
        <v>97</v>
      </c>
      <c r="B70" s="30"/>
      <c r="C70" s="30"/>
      <c r="D70" s="13"/>
      <c r="E70" s="14"/>
      <c r="F70" s="15"/>
      <c r="G70" s="15"/>
    </row>
    <row r="71" spans="1:7" x14ac:dyDescent="0.35">
      <c r="A71" s="12"/>
      <c r="B71" s="30"/>
      <c r="C71" s="30"/>
      <c r="D71" s="13"/>
      <c r="E71" s="14"/>
      <c r="F71" s="15"/>
      <c r="G71" s="15"/>
    </row>
    <row r="72" spans="1:7" x14ac:dyDescent="0.35">
      <c r="A72" s="16" t="s">
        <v>98</v>
      </c>
      <c r="B72" s="30"/>
      <c r="C72" s="30"/>
      <c r="D72" s="13"/>
      <c r="E72" s="14"/>
      <c r="F72" s="15"/>
      <c r="G72" s="15"/>
    </row>
    <row r="73" spans="1:7" x14ac:dyDescent="0.35">
      <c r="A73" s="12" t="s">
        <v>1396</v>
      </c>
      <c r="B73" s="30" t="s">
        <v>1397</v>
      </c>
      <c r="C73" s="30" t="s">
        <v>101</v>
      </c>
      <c r="D73" s="13">
        <v>300000</v>
      </c>
      <c r="E73" s="14">
        <v>297.42</v>
      </c>
      <c r="F73" s="15">
        <v>3.0000000000000001E-3</v>
      </c>
      <c r="G73" s="15">
        <v>6.2003000000000003E-2</v>
      </c>
    </row>
    <row r="74" spans="1:7" x14ac:dyDescent="0.35">
      <c r="A74" s="12" t="s">
        <v>854</v>
      </c>
      <c r="B74" s="30" t="s">
        <v>855</v>
      </c>
      <c r="C74" s="30" t="s">
        <v>101</v>
      </c>
      <c r="D74" s="13">
        <v>200000</v>
      </c>
      <c r="E74" s="14">
        <v>199.24</v>
      </c>
      <c r="F74" s="15">
        <v>2E-3</v>
      </c>
      <c r="G74" s="15">
        <v>6.0247000000000002E-2</v>
      </c>
    </row>
    <row r="75" spans="1:7" x14ac:dyDescent="0.35">
      <c r="A75" s="16" t="s">
        <v>102</v>
      </c>
      <c r="B75" s="31"/>
      <c r="C75" s="31"/>
      <c r="D75" s="17"/>
      <c r="E75" s="37">
        <v>496.66</v>
      </c>
      <c r="F75" s="38">
        <v>5.0000000000000001E-3</v>
      </c>
      <c r="G75" s="20"/>
    </row>
    <row r="76" spans="1:7" x14ac:dyDescent="0.35">
      <c r="A76" s="12"/>
      <c r="B76" s="30"/>
      <c r="C76" s="30"/>
      <c r="D76" s="13"/>
      <c r="E76" s="14"/>
      <c r="F76" s="15"/>
      <c r="G76" s="15"/>
    </row>
    <row r="77" spans="1:7" x14ac:dyDescent="0.35">
      <c r="A77" s="21" t="s">
        <v>129</v>
      </c>
      <c r="B77" s="32"/>
      <c r="C77" s="32"/>
      <c r="D77" s="22"/>
      <c r="E77" s="18">
        <v>496.66</v>
      </c>
      <c r="F77" s="19">
        <v>5.0000000000000001E-3</v>
      </c>
      <c r="G77" s="20"/>
    </row>
    <row r="78" spans="1:7" x14ac:dyDescent="0.35">
      <c r="A78" s="12"/>
      <c r="B78" s="30"/>
      <c r="C78" s="30"/>
      <c r="D78" s="13"/>
      <c r="E78" s="14"/>
      <c r="F78" s="15"/>
      <c r="G78" s="15"/>
    </row>
    <row r="79" spans="1:7" x14ac:dyDescent="0.35">
      <c r="A79" s="12"/>
      <c r="B79" s="30"/>
      <c r="C79" s="30"/>
      <c r="D79" s="13"/>
      <c r="E79" s="14"/>
      <c r="F79" s="15"/>
      <c r="G79" s="15"/>
    </row>
    <row r="80" spans="1:7" x14ac:dyDescent="0.35">
      <c r="A80" s="16" t="s">
        <v>130</v>
      </c>
      <c r="B80" s="30"/>
      <c r="C80" s="30"/>
      <c r="D80" s="13"/>
      <c r="E80" s="14"/>
      <c r="F80" s="15"/>
      <c r="G80" s="15"/>
    </row>
    <row r="81" spans="1:7" x14ac:dyDescent="0.35">
      <c r="A81" s="12" t="s">
        <v>131</v>
      </c>
      <c r="B81" s="30"/>
      <c r="C81" s="30"/>
      <c r="D81" s="13"/>
      <c r="E81" s="14">
        <v>4191.3</v>
      </c>
      <c r="F81" s="15">
        <v>4.1700000000000001E-2</v>
      </c>
      <c r="G81" s="113">
        <v>6.1074000000000003E-2</v>
      </c>
    </row>
    <row r="82" spans="1:7" x14ac:dyDescent="0.35">
      <c r="A82" s="16" t="s">
        <v>102</v>
      </c>
      <c r="B82" s="31"/>
      <c r="C82" s="31"/>
      <c r="D82" s="17"/>
      <c r="E82" s="37">
        <v>4191.3</v>
      </c>
      <c r="F82" s="38">
        <v>4.1700000000000001E-2</v>
      </c>
      <c r="G82" s="114"/>
    </row>
    <row r="83" spans="1:7" x14ac:dyDescent="0.35">
      <c r="A83" s="12"/>
      <c r="B83" s="30"/>
      <c r="C83" s="30"/>
      <c r="D83" s="13"/>
      <c r="E83" s="14"/>
      <c r="F83" s="15"/>
      <c r="G83" s="113"/>
    </row>
    <row r="84" spans="1:7" x14ac:dyDescent="0.35">
      <c r="A84" s="21" t="s">
        <v>129</v>
      </c>
      <c r="B84" s="32"/>
      <c r="C84" s="32"/>
      <c r="D84" s="22"/>
      <c r="E84" s="18">
        <v>4191.3</v>
      </c>
      <c r="F84" s="19">
        <v>4.1700000000000001E-2</v>
      </c>
      <c r="G84" s="114"/>
    </row>
    <row r="85" spans="1:7" x14ac:dyDescent="0.35">
      <c r="A85" s="12" t="s">
        <v>132</v>
      </c>
      <c r="B85" s="30"/>
      <c r="C85" s="30"/>
      <c r="D85" s="13"/>
      <c r="E85" s="14">
        <v>0.70131339999999998</v>
      </c>
      <c r="F85" s="15">
        <v>6.0000000000000002E-6</v>
      </c>
      <c r="G85" s="113"/>
    </row>
    <row r="86" spans="1:7" x14ac:dyDescent="0.35">
      <c r="A86" s="12" t="s">
        <v>133</v>
      </c>
      <c r="B86" s="30"/>
      <c r="C86" s="30"/>
      <c r="D86" s="13"/>
      <c r="E86" s="14">
        <v>1573.8686866</v>
      </c>
      <c r="F86" s="15">
        <v>1.5694E-2</v>
      </c>
      <c r="G86" s="113">
        <v>6.1074000000000003E-2</v>
      </c>
    </row>
    <row r="87" spans="1:7" x14ac:dyDescent="0.35">
      <c r="A87" s="25" t="s">
        <v>134</v>
      </c>
      <c r="B87" s="33"/>
      <c r="C87" s="33"/>
      <c r="D87" s="26"/>
      <c r="E87" s="27">
        <v>100450.85</v>
      </c>
      <c r="F87" s="28">
        <v>1</v>
      </c>
      <c r="G87" s="28"/>
    </row>
    <row r="89" spans="1:7" x14ac:dyDescent="0.35">
      <c r="A89" s="1" t="s">
        <v>1400</v>
      </c>
    </row>
    <row r="92" spans="1:7" x14ac:dyDescent="0.35">
      <c r="A92" s="1" t="s">
        <v>1981</v>
      </c>
    </row>
    <row r="93" spans="1:7" x14ac:dyDescent="0.35">
      <c r="A93" s="47" t="s">
        <v>1982</v>
      </c>
      <c r="B93" s="34" t="s">
        <v>96</v>
      </c>
    </row>
    <row r="94" spans="1:7" x14ac:dyDescent="0.35">
      <c r="A94" t="s">
        <v>1983</v>
      </c>
    </row>
    <row r="95" spans="1:7" x14ac:dyDescent="0.35">
      <c r="A95" t="s">
        <v>1984</v>
      </c>
      <c r="B95" t="s">
        <v>1985</v>
      </c>
      <c r="C95" t="s">
        <v>1985</v>
      </c>
    </row>
    <row r="96" spans="1:7" x14ac:dyDescent="0.35">
      <c r="B96" s="48">
        <v>44834</v>
      </c>
      <c r="C96" s="48">
        <v>44865</v>
      </c>
    </row>
    <row r="97" spans="1:7" x14ac:dyDescent="0.35">
      <c r="A97" t="s">
        <v>1989</v>
      </c>
      <c r="B97">
        <v>18.528400000000001</v>
      </c>
      <c r="C97">
        <v>18.1919</v>
      </c>
      <c r="E97" s="2"/>
      <c r="G97"/>
    </row>
    <row r="98" spans="1:7" x14ac:dyDescent="0.35">
      <c r="A98" t="s">
        <v>1990</v>
      </c>
      <c r="B98">
        <v>18.528300000000002</v>
      </c>
      <c r="C98">
        <v>18.1919</v>
      </c>
      <c r="E98" s="2"/>
      <c r="G98"/>
    </row>
    <row r="99" spans="1:7" x14ac:dyDescent="0.35">
      <c r="A99" t="s">
        <v>2014</v>
      </c>
      <c r="B99">
        <v>17.947600000000001</v>
      </c>
      <c r="C99">
        <v>17.601700000000001</v>
      </c>
      <c r="E99" s="2"/>
      <c r="G99"/>
    </row>
    <row r="100" spans="1:7" x14ac:dyDescent="0.35">
      <c r="A100" t="s">
        <v>2015</v>
      </c>
      <c r="B100">
        <v>17.9467</v>
      </c>
      <c r="C100">
        <v>17.6008</v>
      </c>
      <c r="E100" s="2"/>
      <c r="G100"/>
    </row>
    <row r="101" spans="1:7" x14ac:dyDescent="0.35">
      <c r="E101" s="2"/>
      <c r="G101"/>
    </row>
    <row r="102" spans="1:7" x14ac:dyDescent="0.35">
      <c r="A102" t="s">
        <v>2000</v>
      </c>
      <c r="B102" s="34" t="s">
        <v>96</v>
      </c>
    </row>
    <row r="103" spans="1:7" x14ac:dyDescent="0.35">
      <c r="A103" t="s">
        <v>2001</v>
      </c>
      <c r="B103" s="34" t="s">
        <v>96</v>
      </c>
    </row>
    <row r="104" spans="1:7" ht="29" x14ac:dyDescent="0.35">
      <c r="A104" s="47" t="s">
        <v>2002</v>
      </c>
      <c r="B104" s="34" t="s">
        <v>96</v>
      </c>
    </row>
    <row r="105" spans="1:7" ht="29" x14ac:dyDescent="0.35">
      <c r="A105" s="47" t="s">
        <v>2003</v>
      </c>
      <c r="B105" s="34" t="s">
        <v>96</v>
      </c>
    </row>
    <row r="106" spans="1:7" x14ac:dyDescent="0.35">
      <c r="A106" t="s">
        <v>2033</v>
      </c>
      <c r="B106" s="49">
        <v>1.4879960000000001</v>
      </c>
    </row>
    <row r="107" spans="1:7" ht="43.5" x14ac:dyDescent="0.35">
      <c r="A107" s="47" t="s">
        <v>2005</v>
      </c>
      <c r="B107" s="34">
        <v>3677.3006999999998</v>
      </c>
    </row>
    <row r="108" spans="1:7" ht="29" x14ac:dyDescent="0.35">
      <c r="A108" s="47" t="s">
        <v>2006</v>
      </c>
      <c r="B108" s="34" t="s">
        <v>96</v>
      </c>
    </row>
    <row r="109" spans="1:7" ht="29" x14ac:dyDescent="0.35">
      <c r="A109" s="47" t="s">
        <v>2009</v>
      </c>
      <c r="B109" s="34" t="s">
        <v>96</v>
      </c>
    </row>
    <row r="110" spans="1:7" ht="29" x14ac:dyDescent="0.35">
      <c r="A110" s="47" t="s">
        <v>2135</v>
      </c>
      <c r="B110" s="34" t="s">
        <v>96</v>
      </c>
    </row>
    <row r="111" spans="1:7" ht="29" x14ac:dyDescent="0.35">
      <c r="A111" s="47" t="s">
        <v>2136</v>
      </c>
      <c r="B111" s="34" t="s">
        <v>96</v>
      </c>
    </row>
    <row r="114" spans="1:4" ht="29" x14ac:dyDescent="0.35">
      <c r="A114" s="330" t="s">
        <v>2154</v>
      </c>
      <c r="B114" s="331" t="s">
        <v>2155</v>
      </c>
      <c r="C114" s="331" t="s">
        <v>2156</v>
      </c>
      <c r="D114" s="334" t="s">
        <v>2157</v>
      </c>
    </row>
    <row r="115" spans="1:4" ht="71.5" customHeight="1" x14ac:dyDescent="0.35">
      <c r="A115" s="333" t="s">
        <v>2208</v>
      </c>
      <c r="B115" s="332"/>
      <c r="C115" s="332" t="s">
        <v>2237</v>
      </c>
      <c r="D115" s="332"/>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2D215-82AE-4445-8DDE-4C339CF04697}">
  <dimension ref="A1:H57"/>
  <sheetViews>
    <sheetView showGridLines="0" zoomScale="93" zoomScaleNormal="93" workbookViewId="0">
      <pane ySplit="4" topLeftCell="A53" activePane="bottomLeft" state="frozen"/>
      <selection activeCell="A2" sqref="A2:XFD2"/>
      <selection pane="bottomLeft" activeCell="C57" sqref="C57"/>
    </sheetView>
  </sheetViews>
  <sheetFormatPr defaultRowHeight="14.5" x14ac:dyDescent="0.35"/>
  <cols>
    <col min="1" max="1" width="50.453125" customWidth="1"/>
    <col min="2" max="2" width="21.6328125" customWidth="1"/>
    <col min="3" max="3" width="26.6328125" customWidth="1"/>
    <col min="4" max="4" width="21.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71</v>
      </c>
      <c r="B1" s="151"/>
      <c r="C1" s="151"/>
      <c r="D1" s="151"/>
      <c r="E1" s="151"/>
      <c r="F1" s="151"/>
      <c r="G1" s="151"/>
      <c r="H1" s="50" t="str">
        <f>HYPERLINK("[EDEL_Portfolio Monthly Notes 31-Oct-2022.xlsx]Index!A1","Index")</f>
        <v>Index</v>
      </c>
    </row>
    <row r="2" spans="1:8" ht="31" customHeight="1" x14ac:dyDescent="0.35">
      <c r="A2" s="151" t="s">
        <v>72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894</v>
      </c>
      <c r="B8" s="30" t="s">
        <v>895</v>
      </c>
      <c r="C8" s="30" t="s">
        <v>862</v>
      </c>
      <c r="D8" s="13">
        <v>2664</v>
      </c>
      <c r="E8" s="14">
        <v>39.869999999999997</v>
      </c>
      <c r="F8" s="15">
        <v>0.25490000000000002</v>
      </c>
      <c r="G8" s="15"/>
    </row>
    <row r="9" spans="1:8" x14ac:dyDescent="0.35">
      <c r="A9" s="12" t="s">
        <v>889</v>
      </c>
      <c r="B9" s="30" t="s">
        <v>890</v>
      </c>
      <c r="C9" s="30" t="s">
        <v>862</v>
      </c>
      <c r="D9" s="13">
        <v>4219</v>
      </c>
      <c r="E9" s="14">
        <v>38.340000000000003</v>
      </c>
      <c r="F9" s="15">
        <v>0.24510000000000001</v>
      </c>
      <c r="G9" s="15"/>
    </row>
    <row r="10" spans="1:8" x14ac:dyDescent="0.35">
      <c r="A10" s="12" t="s">
        <v>916</v>
      </c>
      <c r="B10" s="30" t="s">
        <v>917</v>
      </c>
      <c r="C10" s="30" t="s">
        <v>862</v>
      </c>
      <c r="D10" s="13">
        <v>2171</v>
      </c>
      <c r="E10" s="14">
        <v>19.670000000000002</v>
      </c>
      <c r="F10" s="15">
        <v>0.12570000000000001</v>
      </c>
      <c r="G10" s="15"/>
    </row>
    <row r="11" spans="1:8" x14ac:dyDescent="0.35">
      <c r="A11" s="12" t="s">
        <v>961</v>
      </c>
      <c r="B11" s="30" t="s">
        <v>962</v>
      </c>
      <c r="C11" s="30" t="s">
        <v>862</v>
      </c>
      <c r="D11" s="13">
        <v>2984</v>
      </c>
      <c r="E11" s="14">
        <v>17.12</v>
      </c>
      <c r="F11" s="15">
        <v>0.1095</v>
      </c>
      <c r="G11" s="15"/>
    </row>
    <row r="12" spans="1:8" x14ac:dyDescent="0.35">
      <c r="A12" s="12" t="s">
        <v>860</v>
      </c>
      <c r="B12" s="30" t="s">
        <v>861</v>
      </c>
      <c r="C12" s="30" t="s">
        <v>862</v>
      </c>
      <c r="D12" s="13">
        <v>890</v>
      </c>
      <c r="E12" s="14">
        <v>16.93</v>
      </c>
      <c r="F12" s="15">
        <v>0.1082</v>
      </c>
      <c r="G12" s="15"/>
    </row>
    <row r="13" spans="1:8" x14ac:dyDescent="0.35">
      <c r="A13" s="12" t="s">
        <v>914</v>
      </c>
      <c r="B13" s="30" t="s">
        <v>915</v>
      </c>
      <c r="C13" s="30" t="s">
        <v>862</v>
      </c>
      <c r="D13" s="13">
        <v>759</v>
      </c>
      <c r="E13" s="14">
        <v>8.67</v>
      </c>
      <c r="F13" s="15">
        <v>5.5399999999999998E-2</v>
      </c>
      <c r="G13" s="15"/>
    </row>
    <row r="14" spans="1:8" x14ac:dyDescent="0.35">
      <c r="A14" s="12" t="s">
        <v>1681</v>
      </c>
      <c r="B14" s="30" t="s">
        <v>1682</v>
      </c>
      <c r="C14" s="30" t="s">
        <v>862</v>
      </c>
      <c r="D14" s="13">
        <v>550</v>
      </c>
      <c r="E14" s="14">
        <v>3.24</v>
      </c>
      <c r="F14" s="15">
        <v>2.07E-2</v>
      </c>
      <c r="G14" s="15"/>
    </row>
    <row r="15" spans="1:8" x14ac:dyDescent="0.35">
      <c r="A15" s="12" t="s">
        <v>902</v>
      </c>
      <c r="B15" s="30" t="s">
        <v>903</v>
      </c>
      <c r="C15" s="30" t="s">
        <v>862</v>
      </c>
      <c r="D15" s="13">
        <v>2169</v>
      </c>
      <c r="E15" s="14">
        <v>3.2</v>
      </c>
      <c r="F15" s="15">
        <v>2.0500000000000001E-2</v>
      </c>
      <c r="G15" s="15"/>
    </row>
    <row r="16" spans="1:8" x14ac:dyDescent="0.35">
      <c r="A16" s="12" t="s">
        <v>1077</v>
      </c>
      <c r="B16" s="30" t="s">
        <v>1078</v>
      </c>
      <c r="C16" s="30" t="s">
        <v>862</v>
      </c>
      <c r="D16" s="13">
        <v>2335</v>
      </c>
      <c r="E16" s="14">
        <v>3.07</v>
      </c>
      <c r="F16" s="15">
        <v>1.9599999999999999E-2</v>
      </c>
      <c r="G16" s="15"/>
    </row>
    <row r="17" spans="1:7" x14ac:dyDescent="0.35">
      <c r="A17" s="12" t="s">
        <v>1079</v>
      </c>
      <c r="B17" s="30" t="s">
        <v>1080</v>
      </c>
      <c r="C17" s="30" t="s">
        <v>862</v>
      </c>
      <c r="D17" s="13">
        <v>882</v>
      </c>
      <c r="E17" s="14">
        <v>2.1</v>
      </c>
      <c r="F17" s="15">
        <v>1.35E-2</v>
      </c>
      <c r="G17" s="15"/>
    </row>
    <row r="18" spans="1:7" x14ac:dyDescent="0.35">
      <c r="A18" s="12" t="s">
        <v>1081</v>
      </c>
      <c r="B18" s="30" t="s">
        <v>1082</v>
      </c>
      <c r="C18" s="30" t="s">
        <v>862</v>
      </c>
      <c r="D18" s="13">
        <v>3623</v>
      </c>
      <c r="E18" s="14">
        <v>2.0299999999999998</v>
      </c>
      <c r="F18" s="15">
        <v>1.2999999999999999E-2</v>
      </c>
      <c r="G18" s="15"/>
    </row>
    <row r="19" spans="1:7" x14ac:dyDescent="0.35">
      <c r="A19" s="12" t="s">
        <v>878</v>
      </c>
      <c r="B19" s="30" t="s">
        <v>879</v>
      </c>
      <c r="C19" s="30" t="s">
        <v>862</v>
      </c>
      <c r="D19" s="13">
        <v>3463</v>
      </c>
      <c r="E19" s="14">
        <v>1.48</v>
      </c>
      <c r="F19" s="15">
        <v>9.4000000000000004E-3</v>
      </c>
      <c r="G19" s="15"/>
    </row>
    <row r="20" spans="1:7" x14ac:dyDescent="0.35">
      <c r="A20" s="12" t="s">
        <v>2132</v>
      </c>
      <c r="B20" s="30" t="s">
        <v>1687</v>
      </c>
      <c r="C20" s="30" t="s">
        <v>862</v>
      </c>
      <c r="D20" s="13">
        <v>1752</v>
      </c>
      <c r="E20" s="14">
        <v>0</v>
      </c>
      <c r="F20" s="15">
        <v>0</v>
      </c>
      <c r="G20" s="15"/>
    </row>
    <row r="21" spans="1:7" x14ac:dyDescent="0.35">
      <c r="A21" s="16" t="s">
        <v>102</v>
      </c>
      <c r="B21" s="31"/>
      <c r="C21" s="31"/>
      <c r="D21" s="17"/>
      <c r="E21" s="37">
        <v>155.72</v>
      </c>
      <c r="F21" s="38">
        <v>0.99550000000000005</v>
      </c>
      <c r="G21" s="20"/>
    </row>
    <row r="22" spans="1:7" x14ac:dyDescent="0.35">
      <c r="A22" s="16" t="s">
        <v>1206</v>
      </c>
      <c r="B22" s="30"/>
      <c r="C22" s="30"/>
      <c r="D22" s="13"/>
      <c r="E22" s="14"/>
      <c r="F22" s="15"/>
      <c r="G22" s="15"/>
    </row>
    <row r="23" spans="1:7" x14ac:dyDescent="0.35">
      <c r="A23" s="16" t="s">
        <v>102</v>
      </c>
      <c r="B23" s="30"/>
      <c r="C23" s="30"/>
      <c r="D23" s="13"/>
      <c r="E23" s="39" t="s">
        <v>96</v>
      </c>
      <c r="F23" s="40" t="s">
        <v>96</v>
      </c>
      <c r="G23" s="15"/>
    </row>
    <row r="24" spans="1:7" x14ac:dyDescent="0.35">
      <c r="A24" s="21" t="s">
        <v>129</v>
      </c>
      <c r="B24" s="32"/>
      <c r="C24" s="32"/>
      <c r="D24" s="22"/>
      <c r="E24" s="27">
        <v>155.72</v>
      </c>
      <c r="F24" s="28">
        <v>0.99550000000000005</v>
      </c>
      <c r="G24" s="20"/>
    </row>
    <row r="25" spans="1:7" x14ac:dyDescent="0.35">
      <c r="A25" s="12"/>
      <c r="B25" s="30"/>
      <c r="C25" s="30"/>
      <c r="D25" s="13"/>
      <c r="E25" s="14"/>
      <c r="F25" s="15"/>
      <c r="G25" s="15"/>
    </row>
    <row r="26" spans="1:7" x14ac:dyDescent="0.35">
      <c r="A26" s="12"/>
      <c r="B26" s="30"/>
      <c r="C26" s="30"/>
      <c r="D26" s="13"/>
      <c r="E26" s="14"/>
      <c r="F26" s="15"/>
      <c r="G26" s="15"/>
    </row>
    <row r="27" spans="1:7" x14ac:dyDescent="0.35">
      <c r="A27" s="16" t="s">
        <v>130</v>
      </c>
      <c r="B27" s="30"/>
      <c r="C27" s="30"/>
      <c r="D27" s="13"/>
      <c r="E27" s="14"/>
      <c r="F27" s="15"/>
      <c r="G27" s="15"/>
    </row>
    <row r="28" spans="1:7" x14ac:dyDescent="0.35">
      <c r="A28" s="12" t="s">
        <v>131</v>
      </c>
      <c r="B28" s="30"/>
      <c r="C28" s="30"/>
      <c r="D28" s="13"/>
      <c r="E28" s="14">
        <v>1</v>
      </c>
      <c r="F28" s="15">
        <v>6.4000000000000003E-3</v>
      </c>
      <c r="G28" s="115">
        <v>6.1074000000000003E-2</v>
      </c>
    </row>
    <row r="29" spans="1:7" x14ac:dyDescent="0.35">
      <c r="A29" s="16" t="s">
        <v>102</v>
      </c>
      <c r="B29" s="31"/>
      <c r="C29" s="31"/>
      <c r="D29" s="17"/>
      <c r="E29" s="37">
        <v>1</v>
      </c>
      <c r="F29" s="38">
        <v>6.4000000000000003E-3</v>
      </c>
      <c r="G29" s="116"/>
    </row>
    <row r="30" spans="1:7" x14ac:dyDescent="0.35">
      <c r="A30" s="12"/>
      <c r="B30" s="30"/>
      <c r="C30" s="30"/>
      <c r="D30" s="13"/>
      <c r="E30" s="14"/>
      <c r="F30" s="15"/>
      <c r="G30" s="115"/>
    </row>
    <row r="31" spans="1:7" x14ac:dyDescent="0.35">
      <c r="A31" s="21" t="s">
        <v>129</v>
      </c>
      <c r="B31" s="32"/>
      <c r="C31" s="32"/>
      <c r="D31" s="22"/>
      <c r="E31" s="18">
        <v>1</v>
      </c>
      <c r="F31" s="19">
        <v>6.4000000000000003E-3</v>
      </c>
      <c r="G31" s="116"/>
    </row>
    <row r="32" spans="1:7" x14ac:dyDescent="0.35">
      <c r="A32" s="12" t="s">
        <v>132</v>
      </c>
      <c r="B32" s="30"/>
      <c r="C32" s="30"/>
      <c r="D32" s="13"/>
      <c r="E32" s="14">
        <v>1.673E-4</v>
      </c>
      <c r="F32" s="15">
        <v>9.9999999999999995E-7</v>
      </c>
      <c r="G32" s="115"/>
    </row>
    <row r="33" spans="1:7" x14ac:dyDescent="0.35">
      <c r="A33" s="12" t="s">
        <v>133</v>
      </c>
      <c r="B33" s="30"/>
      <c r="C33" s="30"/>
      <c r="D33" s="13"/>
      <c r="E33" s="23">
        <v>-0.29016730000000002</v>
      </c>
      <c r="F33" s="24">
        <v>-1.9009999999999999E-3</v>
      </c>
      <c r="G33" s="115">
        <v>6.1074000000000003E-2</v>
      </c>
    </row>
    <row r="34" spans="1:7" x14ac:dyDescent="0.35">
      <c r="A34" s="25" t="s">
        <v>134</v>
      </c>
      <c r="B34" s="33"/>
      <c r="C34" s="33"/>
      <c r="D34" s="26"/>
      <c r="E34" s="27">
        <v>156.43</v>
      </c>
      <c r="F34" s="28">
        <v>1</v>
      </c>
      <c r="G34" s="28"/>
    </row>
    <row r="36" spans="1:7" ht="71" customHeight="1" x14ac:dyDescent="0.35">
      <c r="A36" s="152" t="s">
        <v>2133</v>
      </c>
      <c r="B36" s="152"/>
      <c r="C36" s="152"/>
      <c r="D36" s="152"/>
      <c r="E36" s="152"/>
      <c r="F36" s="152"/>
      <c r="G36" s="152"/>
    </row>
    <row r="39" spans="1:7" x14ac:dyDescent="0.35">
      <c r="A39" s="1" t="s">
        <v>1981</v>
      </c>
    </row>
    <row r="40" spans="1:7" x14ac:dyDescent="0.35">
      <c r="A40" s="47" t="s">
        <v>1982</v>
      </c>
      <c r="B40" s="34" t="s">
        <v>96</v>
      </c>
    </row>
    <row r="41" spans="1:7" x14ac:dyDescent="0.35">
      <c r="A41" t="s">
        <v>1983</v>
      </c>
    </row>
    <row r="42" spans="1:7" x14ac:dyDescent="0.35">
      <c r="A42" t="s">
        <v>1984</v>
      </c>
      <c r="B42" t="s">
        <v>1985</v>
      </c>
      <c r="C42" t="s">
        <v>1985</v>
      </c>
    </row>
    <row r="43" spans="1:7" x14ac:dyDescent="0.35">
      <c r="B43" s="48">
        <v>44834</v>
      </c>
      <c r="C43" s="48">
        <v>44865</v>
      </c>
    </row>
    <row r="44" spans="1:7" x14ac:dyDescent="0.35">
      <c r="A44" t="s">
        <v>2008</v>
      </c>
      <c r="B44">
        <v>3941.6428999999998</v>
      </c>
      <c r="C44">
        <v>4212.9930999999997</v>
      </c>
      <c r="E44" s="2"/>
      <c r="G44"/>
    </row>
    <row r="45" spans="1:7" x14ac:dyDescent="0.35">
      <c r="E45" s="2"/>
      <c r="G45"/>
    </row>
    <row r="46" spans="1:7" x14ac:dyDescent="0.35">
      <c r="A46" t="s">
        <v>2000</v>
      </c>
      <c r="B46" s="34" t="s">
        <v>96</v>
      </c>
    </row>
    <row r="47" spans="1:7" x14ac:dyDescent="0.35">
      <c r="A47" t="s">
        <v>2001</v>
      </c>
      <c r="B47" s="34" t="s">
        <v>96</v>
      </c>
    </row>
    <row r="48" spans="1:7" ht="29" x14ac:dyDescent="0.35">
      <c r="A48" s="47" t="s">
        <v>2002</v>
      </c>
      <c r="B48" s="34" t="s">
        <v>96</v>
      </c>
    </row>
    <row r="49" spans="1:4" ht="29" x14ac:dyDescent="0.35">
      <c r="A49" s="47" t="s">
        <v>2003</v>
      </c>
      <c r="B49" s="34" t="s">
        <v>96</v>
      </c>
    </row>
    <row r="50" spans="1:4" ht="43.5" x14ac:dyDescent="0.35">
      <c r="A50" s="47" t="s">
        <v>2005</v>
      </c>
      <c r="B50" s="34" t="s">
        <v>96</v>
      </c>
    </row>
    <row r="51" spans="1:4" ht="29" x14ac:dyDescent="0.35">
      <c r="A51" s="47" t="s">
        <v>2006</v>
      </c>
      <c r="B51" s="34" t="s">
        <v>96</v>
      </c>
    </row>
    <row r="52" spans="1:4" ht="29" x14ac:dyDescent="0.35">
      <c r="A52" s="47" t="s">
        <v>2009</v>
      </c>
      <c r="B52" s="34" t="s">
        <v>96</v>
      </c>
    </row>
    <row r="53" spans="1:4" ht="29" x14ac:dyDescent="0.35">
      <c r="A53" s="47" t="s">
        <v>2135</v>
      </c>
      <c r="B53" s="34" t="s">
        <v>96</v>
      </c>
    </row>
    <row r="54" spans="1:4" ht="29" x14ac:dyDescent="0.35">
      <c r="A54" s="47" t="s">
        <v>2136</v>
      </c>
      <c r="B54" s="34" t="s">
        <v>96</v>
      </c>
    </row>
    <row r="56" spans="1:4" ht="29" x14ac:dyDescent="0.35">
      <c r="A56" s="335" t="s">
        <v>2154</v>
      </c>
      <c r="B56" s="336" t="s">
        <v>2155</v>
      </c>
      <c r="C56" s="336" t="s">
        <v>2156</v>
      </c>
      <c r="D56" s="339" t="s">
        <v>2157</v>
      </c>
    </row>
    <row r="57" spans="1:4" ht="71" customHeight="1" x14ac:dyDescent="0.35">
      <c r="A57" s="338" t="s">
        <v>2209</v>
      </c>
      <c r="B57" s="337"/>
      <c r="C57" s="337" t="s">
        <v>2238</v>
      </c>
      <c r="D57" s="337"/>
    </row>
  </sheetData>
  <mergeCells count="3">
    <mergeCell ref="A1:G1"/>
    <mergeCell ref="A2:G2"/>
    <mergeCell ref="A36:G36"/>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052D9-C097-4A0C-8DC8-E6AA3E13552E}">
  <dimension ref="A1:H162"/>
  <sheetViews>
    <sheetView showGridLines="0" workbookViewId="0">
      <pane ySplit="4" topLeftCell="A162" activePane="bottomLeft" state="frozen"/>
      <selection activeCell="A2" sqref="A2:XFD2"/>
      <selection pane="bottomLeft" activeCell="D162" sqref="D162"/>
    </sheetView>
  </sheetViews>
  <sheetFormatPr defaultRowHeight="14.5" x14ac:dyDescent="0.35"/>
  <cols>
    <col min="1" max="1" width="50.453125" customWidth="1"/>
    <col min="2" max="2" width="21.7265625" customWidth="1"/>
    <col min="3" max="3" width="26.6328125" customWidth="1"/>
    <col min="4" max="4" width="22"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73</v>
      </c>
      <c r="B1" s="151"/>
      <c r="C1" s="151"/>
      <c r="D1" s="151"/>
      <c r="E1" s="151"/>
      <c r="F1" s="151"/>
      <c r="G1" s="151"/>
      <c r="H1" s="50" t="str">
        <f>HYPERLINK("[EDEL_Portfolio Monthly Notes 31-Oct-2022.xlsx]Index!A1","Index")</f>
        <v>Index</v>
      </c>
    </row>
    <row r="2" spans="1:8" ht="31" customHeight="1" x14ac:dyDescent="0.35">
      <c r="A2" s="151" t="s">
        <v>74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889</v>
      </c>
      <c r="B8" s="30" t="s">
        <v>890</v>
      </c>
      <c r="C8" s="30" t="s">
        <v>862</v>
      </c>
      <c r="D8" s="13">
        <v>242863</v>
      </c>
      <c r="E8" s="14">
        <v>2206.9</v>
      </c>
      <c r="F8" s="15">
        <v>5.7700000000000001E-2</v>
      </c>
      <c r="G8" s="15"/>
    </row>
    <row r="9" spans="1:8" x14ac:dyDescent="0.35">
      <c r="A9" s="12" t="s">
        <v>894</v>
      </c>
      <c r="B9" s="30" t="s">
        <v>895</v>
      </c>
      <c r="C9" s="30" t="s">
        <v>862</v>
      </c>
      <c r="D9" s="13">
        <v>103727</v>
      </c>
      <c r="E9" s="14">
        <v>1552.48</v>
      </c>
      <c r="F9" s="15">
        <v>4.0599999999999997E-2</v>
      </c>
      <c r="G9" s="15"/>
    </row>
    <row r="10" spans="1:8" x14ac:dyDescent="0.35">
      <c r="A10" s="12" t="s">
        <v>863</v>
      </c>
      <c r="B10" s="30" t="s">
        <v>864</v>
      </c>
      <c r="C10" s="30" t="s">
        <v>865</v>
      </c>
      <c r="D10" s="13">
        <v>59013</v>
      </c>
      <c r="E10" s="14">
        <v>1504.6</v>
      </c>
      <c r="F10" s="15">
        <v>3.9399999999999998E-2</v>
      </c>
      <c r="G10" s="15"/>
    </row>
    <row r="11" spans="1:8" x14ac:dyDescent="0.35">
      <c r="A11" s="12" t="s">
        <v>975</v>
      </c>
      <c r="B11" s="30" t="s">
        <v>976</v>
      </c>
      <c r="C11" s="30" t="s">
        <v>911</v>
      </c>
      <c r="D11" s="13">
        <v>84990</v>
      </c>
      <c r="E11" s="14">
        <v>1306.8499999999999</v>
      </c>
      <c r="F11" s="15">
        <v>3.4200000000000001E-2</v>
      </c>
      <c r="G11" s="15"/>
    </row>
    <row r="12" spans="1:8" x14ac:dyDescent="0.35">
      <c r="A12" s="12" t="s">
        <v>961</v>
      </c>
      <c r="B12" s="30" t="s">
        <v>962</v>
      </c>
      <c r="C12" s="30" t="s">
        <v>862</v>
      </c>
      <c r="D12" s="13">
        <v>199274</v>
      </c>
      <c r="E12" s="14">
        <v>1143.43</v>
      </c>
      <c r="F12" s="15">
        <v>2.9899999999999999E-2</v>
      </c>
      <c r="G12" s="15"/>
    </row>
    <row r="13" spans="1:8" x14ac:dyDescent="0.35">
      <c r="A13" s="12" t="s">
        <v>948</v>
      </c>
      <c r="B13" s="30" t="s">
        <v>949</v>
      </c>
      <c r="C13" s="30" t="s">
        <v>950</v>
      </c>
      <c r="D13" s="13">
        <v>310000</v>
      </c>
      <c r="E13" s="14">
        <v>1080.97</v>
      </c>
      <c r="F13" s="15">
        <v>2.8299999999999999E-2</v>
      </c>
      <c r="G13" s="15"/>
    </row>
    <row r="14" spans="1:8" x14ac:dyDescent="0.35">
      <c r="A14" s="12" t="s">
        <v>1020</v>
      </c>
      <c r="B14" s="30" t="s">
        <v>1021</v>
      </c>
      <c r="C14" s="30" t="s">
        <v>1022</v>
      </c>
      <c r="D14" s="13">
        <v>44000</v>
      </c>
      <c r="E14" s="14">
        <v>890.16</v>
      </c>
      <c r="F14" s="15">
        <v>2.3300000000000001E-2</v>
      </c>
      <c r="G14" s="15"/>
    </row>
    <row r="15" spans="1:8" x14ac:dyDescent="0.35">
      <c r="A15" s="12" t="s">
        <v>1042</v>
      </c>
      <c r="B15" s="30" t="s">
        <v>1043</v>
      </c>
      <c r="C15" s="30" t="s">
        <v>943</v>
      </c>
      <c r="D15" s="13">
        <v>77000</v>
      </c>
      <c r="E15" s="14">
        <v>783.01</v>
      </c>
      <c r="F15" s="15">
        <v>2.0500000000000001E-2</v>
      </c>
      <c r="G15" s="15"/>
    </row>
    <row r="16" spans="1:8" x14ac:dyDescent="0.35">
      <c r="A16" s="12" t="s">
        <v>916</v>
      </c>
      <c r="B16" s="30" t="s">
        <v>917</v>
      </c>
      <c r="C16" s="30" t="s">
        <v>862</v>
      </c>
      <c r="D16" s="13">
        <v>84877</v>
      </c>
      <c r="E16" s="14">
        <v>768.99</v>
      </c>
      <c r="F16" s="15">
        <v>2.01E-2</v>
      </c>
      <c r="G16" s="15"/>
    </row>
    <row r="17" spans="1:7" x14ac:dyDescent="0.35">
      <c r="A17" s="12" t="s">
        <v>1143</v>
      </c>
      <c r="B17" s="30" t="s">
        <v>1144</v>
      </c>
      <c r="C17" s="30" t="s">
        <v>950</v>
      </c>
      <c r="D17" s="13">
        <v>26950</v>
      </c>
      <c r="E17" s="14">
        <v>687.41</v>
      </c>
      <c r="F17" s="15">
        <v>1.7999999999999999E-2</v>
      </c>
      <c r="G17" s="15"/>
    </row>
    <row r="18" spans="1:7" x14ac:dyDescent="0.35">
      <c r="A18" s="12" t="s">
        <v>1169</v>
      </c>
      <c r="B18" s="30" t="s">
        <v>1170</v>
      </c>
      <c r="C18" s="30" t="s">
        <v>901</v>
      </c>
      <c r="D18" s="13">
        <v>347732</v>
      </c>
      <c r="E18" s="14">
        <v>601.91999999999996</v>
      </c>
      <c r="F18" s="15">
        <v>1.5699999999999999E-2</v>
      </c>
      <c r="G18" s="15"/>
    </row>
    <row r="19" spans="1:7" x14ac:dyDescent="0.35">
      <c r="A19" s="12" t="s">
        <v>909</v>
      </c>
      <c r="B19" s="30" t="s">
        <v>910</v>
      </c>
      <c r="C19" s="30" t="s">
        <v>911</v>
      </c>
      <c r="D19" s="13">
        <v>52000</v>
      </c>
      <c r="E19" s="14">
        <v>541.4</v>
      </c>
      <c r="F19" s="15">
        <v>1.4200000000000001E-2</v>
      </c>
      <c r="G19" s="15"/>
    </row>
    <row r="20" spans="1:7" x14ac:dyDescent="0.35">
      <c r="A20" s="12" t="s">
        <v>959</v>
      </c>
      <c r="B20" s="30" t="s">
        <v>960</v>
      </c>
      <c r="C20" s="30" t="s">
        <v>885</v>
      </c>
      <c r="D20" s="13">
        <v>7103</v>
      </c>
      <c r="E20" s="14">
        <v>507.45</v>
      </c>
      <c r="F20" s="15">
        <v>1.3299999999999999E-2</v>
      </c>
      <c r="G20" s="15"/>
    </row>
    <row r="21" spans="1:7" x14ac:dyDescent="0.35">
      <c r="A21" s="12" t="s">
        <v>914</v>
      </c>
      <c r="B21" s="30" t="s">
        <v>915</v>
      </c>
      <c r="C21" s="30" t="s">
        <v>862</v>
      </c>
      <c r="D21" s="13">
        <v>41414</v>
      </c>
      <c r="E21" s="14">
        <v>473.22</v>
      </c>
      <c r="F21" s="15">
        <v>1.24E-2</v>
      </c>
      <c r="G21" s="15"/>
    </row>
    <row r="22" spans="1:7" x14ac:dyDescent="0.35">
      <c r="A22" s="12" t="s">
        <v>896</v>
      </c>
      <c r="B22" s="30" t="s">
        <v>897</v>
      </c>
      <c r="C22" s="30" t="s">
        <v>898</v>
      </c>
      <c r="D22" s="13">
        <v>4500</v>
      </c>
      <c r="E22" s="14">
        <v>428.74</v>
      </c>
      <c r="F22" s="15">
        <v>1.12E-2</v>
      </c>
      <c r="G22" s="15"/>
    </row>
    <row r="23" spans="1:7" x14ac:dyDescent="0.35">
      <c r="A23" s="12" t="s">
        <v>883</v>
      </c>
      <c r="B23" s="30" t="s">
        <v>884</v>
      </c>
      <c r="C23" s="30" t="s">
        <v>885</v>
      </c>
      <c r="D23" s="13">
        <v>16884</v>
      </c>
      <c r="E23" s="14">
        <v>417</v>
      </c>
      <c r="F23" s="15">
        <v>1.09E-2</v>
      </c>
      <c r="G23" s="15"/>
    </row>
    <row r="24" spans="1:7" x14ac:dyDescent="0.35">
      <c r="A24" s="12" t="s">
        <v>1026</v>
      </c>
      <c r="B24" s="30" t="s">
        <v>1027</v>
      </c>
      <c r="C24" s="30" t="s">
        <v>974</v>
      </c>
      <c r="D24" s="13">
        <v>117383</v>
      </c>
      <c r="E24" s="14">
        <v>391.82</v>
      </c>
      <c r="F24" s="15">
        <v>1.0200000000000001E-2</v>
      </c>
      <c r="G24" s="15"/>
    </row>
    <row r="25" spans="1:7" x14ac:dyDescent="0.35">
      <c r="A25" s="12" t="s">
        <v>918</v>
      </c>
      <c r="B25" s="30" t="s">
        <v>919</v>
      </c>
      <c r="C25" s="30" t="s">
        <v>911</v>
      </c>
      <c r="D25" s="13">
        <v>12228</v>
      </c>
      <c r="E25" s="14">
        <v>390.46</v>
      </c>
      <c r="F25" s="15">
        <v>1.0200000000000001E-2</v>
      </c>
      <c r="G25" s="15"/>
    </row>
    <row r="26" spans="1:7" x14ac:dyDescent="0.35">
      <c r="A26" s="12" t="s">
        <v>1509</v>
      </c>
      <c r="B26" s="30" t="s">
        <v>1510</v>
      </c>
      <c r="C26" s="30" t="s">
        <v>931</v>
      </c>
      <c r="D26" s="13">
        <v>10000</v>
      </c>
      <c r="E26" s="14">
        <v>390.19</v>
      </c>
      <c r="F26" s="15">
        <v>1.0200000000000001E-2</v>
      </c>
      <c r="G26" s="15"/>
    </row>
    <row r="27" spans="1:7" x14ac:dyDescent="0.35">
      <c r="A27" s="12" t="s">
        <v>1184</v>
      </c>
      <c r="B27" s="30" t="s">
        <v>1185</v>
      </c>
      <c r="C27" s="30" t="s">
        <v>1186</v>
      </c>
      <c r="D27" s="13">
        <v>284923</v>
      </c>
      <c r="E27" s="14">
        <v>381.94</v>
      </c>
      <c r="F27" s="15">
        <v>0.01</v>
      </c>
      <c r="G27" s="15"/>
    </row>
    <row r="28" spans="1:7" x14ac:dyDescent="0.35">
      <c r="A28" s="12" t="s">
        <v>1440</v>
      </c>
      <c r="B28" s="30" t="s">
        <v>1441</v>
      </c>
      <c r="C28" s="30" t="s">
        <v>988</v>
      </c>
      <c r="D28" s="13">
        <v>76755</v>
      </c>
      <c r="E28" s="14">
        <v>337.65</v>
      </c>
      <c r="F28" s="15">
        <v>8.8000000000000005E-3</v>
      </c>
      <c r="G28" s="15"/>
    </row>
    <row r="29" spans="1:7" x14ac:dyDescent="0.35">
      <c r="A29" s="12" t="s">
        <v>923</v>
      </c>
      <c r="B29" s="30" t="s">
        <v>924</v>
      </c>
      <c r="C29" s="30" t="s">
        <v>877</v>
      </c>
      <c r="D29" s="13">
        <v>313473</v>
      </c>
      <c r="E29" s="14">
        <v>334.95</v>
      </c>
      <c r="F29" s="15">
        <v>8.8000000000000005E-3</v>
      </c>
      <c r="G29" s="15"/>
    </row>
    <row r="30" spans="1:7" x14ac:dyDescent="0.35">
      <c r="A30" s="12" t="s">
        <v>875</v>
      </c>
      <c r="B30" s="30" t="s">
        <v>876</v>
      </c>
      <c r="C30" s="30" t="s">
        <v>877</v>
      </c>
      <c r="D30" s="13">
        <v>12425</v>
      </c>
      <c r="E30" s="14">
        <v>314.36</v>
      </c>
      <c r="F30" s="15">
        <v>8.2000000000000007E-3</v>
      </c>
      <c r="G30" s="15"/>
    </row>
    <row r="31" spans="1:7" x14ac:dyDescent="0.35">
      <c r="A31" s="12" t="s">
        <v>1124</v>
      </c>
      <c r="B31" s="30" t="s">
        <v>1125</v>
      </c>
      <c r="C31" s="30" t="s">
        <v>898</v>
      </c>
      <c r="D31" s="13">
        <v>23000</v>
      </c>
      <c r="E31" s="14">
        <v>310.18</v>
      </c>
      <c r="F31" s="15">
        <v>8.0999999999999996E-3</v>
      </c>
      <c r="G31" s="15"/>
    </row>
    <row r="32" spans="1:7" x14ac:dyDescent="0.35">
      <c r="A32" s="12" t="s">
        <v>872</v>
      </c>
      <c r="B32" s="30" t="s">
        <v>873</v>
      </c>
      <c r="C32" s="30" t="s">
        <v>874</v>
      </c>
      <c r="D32" s="13">
        <v>74553</v>
      </c>
      <c r="E32" s="14">
        <v>302.42</v>
      </c>
      <c r="F32" s="15">
        <v>7.9000000000000008E-3</v>
      </c>
      <c r="G32" s="15"/>
    </row>
    <row r="33" spans="1:7" x14ac:dyDescent="0.35">
      <c r="A33" s="12" t="s">
        <v>880</v>
      </c>
      <c r="B33" s="30" t="s">
        <v>881</v>
      </c>
      <c r="C33" s="30" t="s">
        <v>882</v>
      </c>
      <c r="D33" s="13">
        <v>107101</v>
      </c>
      <c r="E33" s="14">
        <v>281.08999999999997</v>
      </c>
      <c r="F33" s="15">
        <v>7.4000000000000003E-3</v>
      </c>
      <c r="G33" s="15"/>
    </row>
    <row r="34" spans="1:7" x14ac:dyDescent="0.35">
      <c r="A34" s="12" t="s">
        <v>886</v>
      </c>
      <c r="B34" s="30" t="s">
        <v>887</v>
      </c>
      <c r="C34" s="30" t="s">
        <v>888</v>
      </c>
      <c r="D34" s="13">
        <v>36936</v>
      </c>
      <c r="E34" s="14">
        <v>269.70999999999998</v>
      </c>
      <c r="F34" s="15">
        <v>7.1000000000000004E-3</v>
      </c>
      <c r="G34" s="15"/>
    </row>
    <row r="35" spans="1:7" x14ac:dyDescent="0.35">
      <c r="A35" s="12" t="s">
        <v>1102</v>
      </c>
      <c r="B35" s="30" t="s">
        <v>1103</v>
      </c>
      <c r="C35" s="30" t="s">
        <v>911</v>
      </c>
      <c r="D35" s="13">
        <v>7050</v>
      </c>
      <c r="E35" s="14">
        <v>260.36</v>
      </c>
      <c r="F35" s="15">
        <v>6.7999999999999996E-3</v>
      </c>
      <c r="G35" s="15"/>
    </row>
    <row r="36" spans="1:7" x14ac:dyDescent="0.35">
      <c r="A36" s="12" t="s">
        <v>1110</v>
      </c>
      <c r="B36" s="30" t="s">
        <v>1111</v>
      </c>
      <c r="C36" s="30" t="s">
        <v>898</v>
      </c>
      <c r="D36" s="13">
        <v>22400</v>
      </c>
      <c r="E36" s="14">
        <v>256.72000000000003</v>
      </c>
      <c r="F36" s="15">
        <v>6.7000000000000002E-3</v>
      </c>
      <c r="G36" s="15"/>
    </row>
    <row r="37" spans="1:7" x14ac:dyDescent="0.35">
      <c r="A37" s="12" t="s">
        <v>1040</v>
      </c>
      <c r="B37" s="30" t="s">
        <v>1041</v>
      </c>
      <c r="C37" s="30" t="s">
        <v>908</v>
      </c>
      <c r="D37" s="13">
        <v>3800</v>
      </c>
      <c r="E37" s="14">
        <v>255.17</v>
      </c>
      <c r="F37" s="15">
        <v>6.7000000000000002E-3</v>
      </c>
      <c r="G37" s="15"/>
    </row>
    <row r="38" spans="1:7" x14ac:dyDescent="0.35">
      <c r="A38" s="12" t="s">
        <v>1091</v>
      </c>
      <c r="B38" s="30" t="s">
        <v>1092</v>
      </c>
      <c r="C38" s="30" t="s">
        <v>934</v>
      </c>
      <c r="D38" s="13">
        <v>8348</v>
      </c>
      <c r="E38" s="14">
        <v>254.59</v>
      </c>
      <c r="F38" s="15">
        <v>6.7000000000000002E-3</v>
      </c>
      <c r="G38" s="15"/>
    </row>
    <row r="39" spans="1:7" x14ac:dyDescent="0.35">
      <c r="A39" s="12" t="s">
        <v>1165</v>
      </c>
      <c r="B39" s="30" t="s">
        <v>1166</v>
      </c>
      <c r="C39" s="30" t="s">
        <v>1048</v>
      </c>
      <c r="D39" s="13">
        <v>70000</v>
      </c>
      <c r="E39" s="14">
        <v>247.73</v>
      </c>
      <c r="F39" s="15">
        <v>6.4999999999999997E-3</v>
      </c>
      <c r="G39" s="15"/>
    </row>
    <row r="40" spans="1:7" x14ac:dyDescent="0.35">
      <c r="A40" s="12" t="s">
        <v>1407</v>
      </c>
      <c r="B40" s="30" t="s">
        <v>1408</v>
      </c>
      <c r="C40" s="30" t="s">
        <v>953</v>
      </c>
      <c r="D40" s="13">
        <v>8260</v>
      </c>
      <c r="E40" s="14">
        <v>227.53</v>
      </c>
      <c r="F40" s="15">
        <v>6.0000000000000001E-3</v>
      </c>
      <c r="G40" s="15"/>
    </row>
    <row r="41" spans="1:7" x14ac:dyDescent="0.35">
      <c r="A41" s="12" t="s">
        <v>1679</v>
      </c>
      <c r="B41" s="30" t="s">
        <v>1680</v>
      </c>
      <c r="C41" s="30" t="s">
        <v>953</v>
      </c>
      <c r="D41" s="13">
        <v>8000</v>
      </c>
      <c r="E41" s="14">
        <v>219.46</v>
      </c>
      <c r="F41" s="15">
        <v>5.7000000000000002E-3</v>
      </c>
      <c r="G41" s="15"/>
    </row>
    <row r="42" spans="1:7" x14ac:dyDescent="0.35">
      <c r="A42" s="12" t="s">
        <v>1137</v>
      </c>
      <c r="B42" s="30" t="s">
        <v>1138</v>
      </c>
      <c r="C42" s="30" t="s">
        <v>898</v>
      </c>
      <c r="D42" s="13">
        <v>51565</v>
      </c>
      <c r="E42" s="14">
        <v>212.83</v>
      </c>
      <c r="F42" s="15">
        <v>5.5999999999999999E-3</v>
      </c>
      <c r="G42" s="15"/>
    </row>
    <row r="43" spans="1:7" x14ac:dyDescent="0.35">
      <c r="A43" s="12" t="s">
        <v>1155</v>
      </c>
      <c r="B43" s="30" t="s">
        <v>1156</v>
      </c>
      <c r="C43" s="30" t="s">
        <v>1010</v>
      </c>
      <c r="D43" s="13">
        <v>40142</v>
      </c>
      <c r="E43" s="14">
        <v>210.56</v>
      </c>
      <c r="F43" s="15">
        <v>5.4999999999999997E-3</v>
      </c>
      <c r="G43" s="15"/>
    </row>
    <row r="44" spans="1:7" x14ac:dyDescent="0.35">
      <c r="A44" s="12" t="s">
        <v>1403</v>
      </c>
      <c r="B44" s="30" t="s">
        <v>1404</v>
      </c>
      <c r="C44" s="30" t="s">
        <v>995</v>
      </c>
      <c r="D44" s="13">
        <v>230000</v>
      </c>
      <c r="E44" s="14">
        <v>209.99</v>
      </c>
      <c r="F44" s="15">
        <v>5.4999999999999997E-3</v>
      </c>
      <c r="G44" s="15"/>
    </row>
    <row r="45" spans="1:7" x14ac:dyDescent="0.35">
      <c r="A45" s="12" t="s">
        <v>1401</v>
      </c>
      <c r="B45" s="30" t="s">
        <v>1402</v>
      </c>
      <c r="C45" s="30" t="s">
        <v>885</v>
      </c>
      <c r="D45" s="13">
        <v>12350</v>
      </c>
      <c r="E45" s="14">
        <v>208.41</v>
      </c>
      <c r="F45" s="15">
        <v>5.4999999999999997E-3</v>
      </c>
      <c r="G45" s="15"/>
    </row>
    <row r="46" spans="1:7" x14ac:dyDescent="0.35">
      <c r="A46" s="12" t="s">
        <v>1530</v>
      </c>
      <c r="B46" s="30" t="s">
        <v>1531</v>
      </c>
      <c r="C46" s="30" t="s">
        <v>1057</v>
      </c>
      <c r="D46" s="13">
        <v>45000</v>
      </c>
      <c r="E46" s="14">
        <v>205.34</v>
      </c>
      <c r="F46" s="15">
        <v>5.4000000000000003E-3</v>
      </c>
      <c r="G46" s="15"/>
    </row>
    <row r="47" spans="1:7" x14ac:dyDescent="0.35">
      <c r="A47" s="12" t="s">
        <v>1532</v>
      </c>
      <c r="B47" s="30" t="s">
        <v>1533</v>
      </c>
      <c r="C47" s="30" t="s">
        <v>940</v>
      </c>
      <c r="D47" s="13">
        <v>19000</v>
      </c>
      <c r="E47" s="14">
        <v>205</v>
      </c>
      <c r="F47" s="15">
        <v>5.4000000000000003E-3</v>
      </c>
      <c r="G47" s="15"/>
    </row>
    <row r="48" spans="1:7" x14ac:dyDescent="0.35">
      <c r="A48" s="12" t="s">
        <v>929</v>
      </c>
      <c r="B48" s="30" t="s">
        <v>930</v>
      </c>
      <c r="C48" s="30" t="s">
        <v>931</v>
      </c>
      <c r="D48" s="13">
        <v>18000</v>
      </c>
      <c r="E48" s="14">
        <v>203.9</v>
      </c>
      <c r="F48" s="15">
        <v>5.3E-3</v>
      </c>
      <c r="G48" s="15"/>
    </row>
    <row r="49" spans="1:7" x14ac:dyDescent="0.35">
      <c r="A49" s="12" t="s">
        <v>1011</v>
      </c>
      <c r="B49" s="30" t="s">
        <v>1012</v>
      </c>
      <c r="C49" s="30" t="s">
        <v>888</v>
      </c>
      <c r="D49" s="13">
        <v>20896</v>
      </c>
      <c r="E49" s="14">
        <v>201.09</v>
      </c>
      <c r="F49" s="15">
        <v>5.3E-3</v>
      </c>
      <c r="G49" s="15"/>
    </row>
    <row r="50" spans="1:7" x14ac:dyDescent="0.35">
      <c r="A50" s="12" t="s">
        <v>1126</v>
      </c>
      <c r="B50" s="30" t="s">
        <v>1127</v>
      </c>
      <c r="C50" s="30" t="s">
        <v>1128</v>
      </c>
      <c r="D50" s="13">
        <v>80309</v>
      </c>
      <c r="E50" s="14">
        <v>197.52</v>
      </c>
      <c r="F50" s="15">
        <v>5.1999999999999998E-3</v>
      </c>
      <c r="G50" s="15"/>
    </row>
    <row r="51" spans="1:7" x14ac:dyDescent="0.35">
      <c r="A51" s="12" t="s">
        <v>1777</v>
      </c>
      <c r="B51" s="30" t="s">
        <v>1778</v>
      </c>
      <c r="C51" s="30" t="s">
        <v>943</v>
      </c>
      <c r="D51" s="13">
        <v>15000</v>
      </c>
      <c r="E51" s="14">
        <v>194.24</v>
      </c>
      <c r="F51" s="15">
        <v>5.1000000000000004E-3</v>
      </c>
      <c r="G51" s="15"/>
    </row>
    <row r="52" spans="1:7" x14ac:dyDescent="0.35">
      <c r="A52" s="12" t="s">
        <v>1883</v>
      </c>
      <c r="B52" s="30" t="s">
        <v>1884</v>
      </c>
      <c r="C52" s="30" t="s">
        <v>1097</v>
      </c>
      <c r="D52" s="13">
        <v>31000</v>
      </c>
      <c r="E52" s="14">
        <v>192.01</v>
      </c>
      <c r="F52" s="15">
        <v>5.0000000000000001E-3</v>
      </c>
      <c r="G52" s="15"/>
    </row>
    <row r="53" spans="1:7" x14ac:dyDescent="0.35">
      <c r="A53" s="12" t="s">
        <v>1579</v>
      </c>
      <c r="B53" s="30" t="s">
        <v>1580</v>
      </c>
      <c r="C53" s="30" t="s">
        <v>922</v>
      </c>
      <c r="D53" s="13">
        <v>10000</v>
      </c>
      <c r="E53" s="14">
        <v>189.3</v>
      </c>
      <c r="F53" s="15">
        <v>5.0000000000000001E-3</v>
      </c>
      <c r="G53" s="15"/>
    </row>
    <row r="54" spans="1:7" x14ac:dyDescent="0.35">
      <c r="A54" s="12" t="s">
        <v>860</v>
      </c>
      <c r="B54" s="30" t="s">
        <v>861</v>
      </c>
      <c r="C54" s="30" t="s">
        <v>862</v>
      </c>
      <c r="D54" s="13">
        <v>9898</v>
      </c>
      <c r="E54" s="14">
        <v>188.26</v>
      </c>
      <c r="F54" s="15">
        <v>4.8999999999999998E-3</v>
      </c>
      <c r="G54" s="15"/>
    </row>
    <row r="55" spans="1:7" x14ac:dyDescent="0.35">
      <c r="A55" s="12" t="s">
        <v>1106</v>
      </c>
      <c r="B55" s="30" t="s">
        <v>1107</v>
      </c>
      <c r="C55" s="30" t="s">
        <v>983</v>
      </c>
      <c r="D55" s="13">
        <v>14624</v>
      </c>
      <c r="E55" s="14">
        <v>185.13</v>
      </c>
      <c r="F55" s="15">
        <v>4.7999999999999996E-3</v>
      </c>
      <c r="G55" s="15"/>
    </row>
    <row r="56" spans="1:7" x14ac:dyDescent="0.35">
      <c r="A56" s="12" t="s">
        <v>1405</v>
      </c>
      <c r="B56" s="30" t="s">
        <v>1406</v>
      </c>
      <c r="C56" s="30" t="s">
        <v>937</v>
      </c>
      <c r="D56" s="13">
        <v>7000</v>
      </c>
      <c r="E56" s="14">
        <v>178.44</v>
      </c>
      <c r="F56" s="15">
        <v>4.7000000000000002E-3</v>
      </c>
      <c r="G56" s="15"/>
    </row>
    <row r="57" spans="1:7" x14ac:dyDescent="0.35">
      <c r="A57" s="12" t="s">
        <v>1627</v>
      </c>
      <c r="B57" s="30" t="s">
        <v>1628</v>
      </c>
      <c r="C57" s="30" t="s">
        <v>885</v>
      </c>
      <c r="D57" s="13">
        <v>28000</v>
      </c>
      <c r="E57" s="14">
        <v>175.91</v>
      </c>
      <c r="F57" s="15">
        <v>4.5999999999999999E-3</v>
      </c>
      <c r="G57" s="15"/>
    </row>
    <row r="58" spans="1:7" x14ac:dyDescent="0.35">
      <c r="A58" s="12" t="s">
        <v>1411</v>
      </c>
      <c r="B58" s="30" t="s">
        <v>1412</v>
      </c>
      <c r="C58" s="30" t="s">
        <v>953</v>
      </c>
      <c r="D58" s="13">
        <v>31850</v>
      </c>
      <c r="E58" s="14">
        <v>170.94</v>
      </c>
      <c r="F58" s="15">
        <v>4.4999999999999997E-3</v>
      </c>
      <c r="G58" s="15"/>
    </row>
    <row r="59" spans="1:7" x14ac:dyDescent="0.35">
      <c r="A59" s="12" t="s">
        <v>1409</v>
      </c>
      <c r="B59" s="30" t="s">
        <v>1410</v>
      </c>
      <c r="C59" s="30" t="s">
        <v>885</v>
      </c>
      <c r="D59" s="13">
        <v>20000</v>
      </c>
      <c r="E59" s="14">
        <v>165.33</v>
      </c>
      <c r="F59" s="15">
        <v>4.3E-3</v>
      </c>
      <c r="G59" s="15"/>
    </row>
    <row r="60" spans="1:7" x14ac:dyDescent="0.35">
      <c r="A60" s="12" t="s">
        <v>1193</v>
      </c>
      <c r="B60" s="30" t="s">
        <v>1194</v>
      </c>
      <c r="C60" s="30" t="s">
        <v>943</v>
      </c>
      <c r="D60" s="13">
        <v>10000</v>
      </c>
      <c r="E60" s="14">
        <v>165</v>
      </c>
      <c r="F60" s="15">
        <v>4.3E-3</v>
      </c>
      <c r="G60" s="15"/>
    </row>
    <row r="61" spans="1:7" x14ac:dyDescent="0.35">
      <c r="A61" s="12" t="s">
        <v>1171</v>
      </c>
      <c r="B61" s="30" t="s">
        <v>1172</v>
      </c>
      <c r="C61" s="30" t="s">
        <v>971</v>
      </c>
      <c r="D61" s="13">
        <v>158975</v>
      </c>
      <c r="E61" s="14">
        <v>161.44</v>
      </c>
      <c r="F61" s="15">
        <v>4.1999999999999997E-3</v>
      </c>
      <c r="G61" s="15"/>
    </row>
    <row r="62" spans="1:7" x14ac:dyDescent="0.35">
      <c r="A62" s="12" t="s">
        <v>1151</v>
      </c>
      <c r="B62" s="30" t="s">
        <v>1152</v>
      </c>
      <c r="C62" s="30" t="s">
        <v>943</v>
      </c>
      <c r="D62" s="13">
        <v>4432</v>
      </c>
      <c r="E62" s="14">
        <v>159.94999999999999</v>
      </c>
      <c r="F62" s="15">
        <v>4.1999999999999997E-3</v>
      </c>
      <c r="G62" s="15"/>
    </row>
    <row r="63" spans="1:7" x14ac:dyDescent="0.35">
      <c r="A63" s="12" t="s">
        <v>1688</v>
      </c>
      <c r="B63" s="30" t="s">
        <v>1689</v>
      </c>
      <c r="C63" s="30" t="s">
        <v>953</v>
      </c>
      <c r="D63" s="13">
        <v>170</v>
      </c>
      <c r="E63" s="14">
        <v>154.30000000000001</v>
      </c>
      <c r="F63" s="15">
        <v>4.0000000000000001E-3</v>
      </c>
      <c r="G63" s="15"/>
    </row>
    <row r="64" spans="1:7" x14ac:dyDescent="0.35">
      <c r="A64" s="12" t="s">
        <v>1507</v>
      </c>
      <c r="B64" s="30" t="s">
        <v>1508</v>
      </c>
      <c r="C64" s="30" t="s">
        <v>1025</v>
      </c>
      <c r="D64" s="13">
        <v>4000</v>
      </c>
      <c r="E64" s="14">
        <v>150.66</v>
      </c>
      <c r="F64" s="15">
        <v>3.8999999999999998E-3</v>
      </c>
      <c r="G64" s="15"/>
    </row>
    <row r="65" spans="1:7" x14ac:dyDescent="0.35">
      <c r="A65" s="12" t="s">
        <v>938</v>
      </c>
      <c r="B65" s="30" t="s">
        <v>939</v>
      </c>
      <c r="C65" s="30" t="s">
        <v>940</v>
      </c>
      <c r="D65" s="13">
        <v>10801</v>
      </c>
      <c r="E65" s="14">
        <v>145.59</v>
      </c>
      <c r="F65" s="15">
        <v>3.8E-3</v>
      </c>
      <c r="G65" s="15"/>
    </row>
    <row r="66" spans="1:7" x14ac:dyDescent="0.35">
      <c r="A66" s="12" t="s">
        <v>965</v>
      </c>
      <c r="B66" s="30" t="s">
        <v>966</v>
      </c>
      <c r="C66" s="30" t="s">
        <v>901</v>
      </c>
      <c r="D66" s="13">
        <v>27000</v>
      </c>
      <c r="E66" s="14">
        <v>136.16999999999999</v>
      </c>
      <c r="F66" s="15">
        <v>3.5999999999999999E-3</v>
      </c>
      <c r="G66" s="15"/>
    </row>
    <row r="67" spans="1:7" x14ac:dyDescent="0.35">
      <c r="A67" s="12" t="s">
        <v>1442</v>
      </c>
      <c r="B67" s="30" t="s">
        <v>1443</v>
      </c>
      <c r="C67" s="30" t="s">
        <v>885</v>
      </c>
      <c r="D67" s="13">
        <v>4500</v>
      </c>
      <c r="E67" s="14">
        <v>134.9</v>
      </c>
      <c r="F67" s="15">
        <v>3.5000000000000001E-3</v>
      </c>
      <c r="G67" s="15"/>
    </row>
    <row r="68" spans="1:7" x14ac:dyDescent="0.35">
      <c r="A68" s="12" t="s">
        <v>1051</v>
      </c>
      <c r="B68" s="30" t="s">
        <v>1052</v>
      </c>
      <c r="C68" s="30" t="s">
        <v>885</v>
      </c>
      <c r="D68" s="13">
        <v>22699</v>
      </c>
      <c r="E68" s="14">
        <v>119.02</v>
      </c>
      <c r="F68" s="15">
        <v>3.0999999999999999E-3</v>
      </c>
      <c r="G68" s="15"/>
    </row>
    <row r="69" spans="1:7" x14ac:dyDescent="0.35">
      <c r="A69" s="12" t="s">
        <v>1432</v>
      </c>
      <c r="B69" s="30" t="s">
        <v>1433</v>
      </c>
      <c r="C69" s="30" t="s">
        <v>911</v>
      </c>
      <c r="D69" s="13">
        <v>1572</v>
      </c>
      <c r="E69" s="14">
        <v>109.97</v>
      </c>
      <c r="F69" s="15">
        <v>2.8999999999999998E-3</v>
      </c>
      <c r="G69" s="15"/>
    </row>
    <row r="70" spans="1:7" x14ac:dyDescent="0.35">
      <c r="A70" s="12" t="s">
        <v>1176</v>
      </c>
      <c r="B70" s="30" t="s">
        <v>1177</v>
      </c>
      <c r="C70" s="30" t="s">
        <v>865</v>
      </c>
      <c r="D70" s="13">
        <v>26692</v>
      </c>
      <c r="E70" s="14">
        <v>81.05</v>
      </c>
      <c r="F70" s="15">
        <v>2.0999999999999999E-3</v>
      </c>
      <c r="G70" s="15"/>
    </row>
    <row r="71" spans="1:7" x14ac:dyDescent="0.35">
      <c r="A71" s="12" t="s">
        <v>1440</v>
      </c>
      <c r="B71" s="30" t="s">
        <v>1456</v>
      </c>
      <c r="C71" s="30" t="s">
        <v>988</v>
      </c>
      <c r="D71" s="13">
        <v>4339</v>
      </c>
      <c r="E71" s="14">
        <v>36.1</v>
      </c>
      <c r="F71" s="15">
        <v>8.9999999999999998E-4</v>
      </c>
      <c r="G71" s="15"/>
    </row>
    <row r="72" spans="1:7" x14ac:dyDescent="0.35">
      <c r="A72" s="12" t="s">
        <v>1438</v>
      </c>
      <c r="B72" s="30" t="s">
        <v>1439</v>
      </c>
      <c r="C72" s="30" t="s">
        <v>1015</v>
      </c>
      <c r="D72" s="13">
        <v>10400</v>
      </c>
      <c r="E72" s="14">
        <v>32.89</v>
      </c>
      <c r="F72" s="15">
        <v>8.9999999999999998E-4</v>
      </c>
      <c r="G72" s="15"/>
    </row>
    <row r="73" spans="1:7" x14ac:dyDescent="0.35">
      <c r="A73" s="12" t="s">
        <v>1454</v>
      </c>
      <c r="B73" s="30" t="s">
        <v>1455</v>
      </c>
      <c r="C73" s="30" t="s">
        <v>885</v>
      </c>
      <c r="D73" s="13">
        <v>8400</v>
      </c>
      <c r="E73" s="14">
        <v>32</v>
      </c>
      <c r="F73" s="15">
        <v>8.0000000000000004E-4</v>
      </c>
      <c r="G73" s="15"/>
    </row>
    <row r="74" spans="1:7" x14ac:dyDescent="0.35">
      <c r="A74" s="12" t="s">
        <v>1708</v>
      </c>
      <c r="B74" s="30" t="s">
        <v>1709</v>
      </c>
      <c r="C74" s="30" t="s">
        <v>940</v>
      </c>
      <c r="D74" s="13">
        <v>515</v>
      </c>
      <c r="E74" s="14">
        <v>14.3</v>
      </c>
      <c r="F74" s="15">
        <v>4.0000000000000002E-4</v>
      </c>
      <c r="G74" s="15"/>
    </row>
    <row r="75" spans="1:7" x14ac:dyDescent="0.35">
      <c r="A75" s="12" t="s">
        <v>1461</v>
      </c>
      <c r="B75" s="30" t="s">
        <v>1462</v>
      </c>
      <c r="C75" s="30" t="s">
        <v>911</v>
      </c>
      <c r="D75" s="13">
        <v>143</v>
      </c>
      <c r="E75" s="14">
        <v>5.45</v>
      </c>
      <c r="F75" s="15">
        <v>1E-4</v>
      </c>
      <c r="G75" s="15"/>
    </row>
    <row r="76" spans="1:7" x14ac:dyDescent="0.35">
      <c r="A76" s="16" t="s">
        <v>102</v>
      </c>
      <c r="B76" s="31"/>
      <c r="C76" s="31"/>
      <c r="D76" s="17"/>
      <c r="E76" s="37">
        <v>25453.85</v>
      </c>
      <c r="F76" s="38">
        <v>0.66600000000000004</v>
      </c>
      <c r="G76" s="20"/>
    </row>
    <row r="77" spans="1:7" x14ac:dyDescent="0.35">
      <c r="A77" s="16" t="s">
        <v>1206</v>
      </c>
      <c r="B77" s="30"/>
      <c r="C77" s="30"/>
      <c r="D77" s="13"/>
      <c r="E77" s="14"/>
      <c r="F77" s="15"/>
      <c r="G77" s="15"/>
    </row>
    <row r="78" spans="1:7" x14ac:dyDescent="0.35">
      <c r="A78" s="16" t="s">
        <v>102</v>
      </c>
      <c r="B78" s="30"/>
      <c r="C78" s="30"/>
      <c r="D78" s="13"/>
      <c r="E78" s="39" t="s">
        <v>96</v>
      </c>
      <c r="F78" s="40" t="s">
        <v>96</v>
      </c>
      <c r="G78" s="15"/>
    </row>
    <row r="79" spans="1:7" x14ac:dyDescent="0.35">
      <c r="A79" s="21" t="s">
        <v>129</v>
      </c>
      <c r="B79" s="32"/>
      <c r="C79" s="32"/>
      <c r="D79" s="22"/>
      <c r="E79" s="27">
        <v>25453.85</v>
      </c>
      <c r="F79" s="28">
        <v>0.66600000000000004</v>
      </c>
      <c r="G79" s="20"/>
    </row>
    <row r="80" spans="1:7" x14ac:dyDescent="0.35">
      <c r="A80" s="12"/>
      <c r="B80" s="30"/>
      <c r="C80" s="30"/>
      <c r="D80" s="13"/>
      <c r="E80" s="14"/>
      <c r="F80" s="15"/>
      <c r="G80" s="15"/>
    </row>
    <row r="81" spans="1:7" x14ac:dyDescent="0.35">
      <c r="A81" s="16" t="s">
        <v>1207</v>
      </c>
      <c r="B81" s="30"/>
      <c r="C81" s="30"/>
      <c r="D81" s="13"/>
      <c r="E81" s="14"/>
      <c r="F81" s="15"/>
      <c r="G81" s="15"/>
    </row>
    <row r="82" spans="1:7" x14ac:dyDescent="0.35">
      <c r="A82" s="16" t="s">
        <v>1208</v>
      </c>
      <c r="B82" s="30"/>
      <c r="C82" s="30"/>
      <c r="D82" s="13"/>
      <c r="E82" s="14"/>
      <c r="F82" s="15"/>
      <c r="G82" s="15"/>
    </row>
    <row r="83" spans="1:7" x14ac:dyDescent="0.35">
      <c r="A83" s="12" t="s">
        <v>1470</v>
      </c>
      <c r="B83" s="30"/>
      <c r="C83" s="30" t="s">
        <v>1471</v>
      </c>
      <c r="D83" s="13">
        <v>11400</v>
      </c>
      <c r="E83" s="14">
        <v>2057.8200000000002</v>
      </c>
      <c r="F83" s="15">
        <v>5.3828000000000001E-2</v>
      </c>
      <c r="G83" s="15"/>
    </row>
    <row r="84" spans="1:7" x14ac:dyDescent="0.35">
      <c r="A84" s="12" t="s">
        <v>1521</v>
      </c>
      <c r="B84" s="30"/>
      <c r="C84" s="30" t="s">
        <v>1471</v>
      </c>
      <c r="D84" s="13">
        <v>800</v>
      </c>
      <c r="E84" s="14">
        <v>331.73</v>
      </c>
      <c r="F84" s="15">
        <v>8.6770000000000007E-3</v>
      </c>
      <c r="G84" s="15"/>
    </row>
    <row r="85" spans="1:7" x14ac:dyDescent="0.35">
      <c r="A85" s="12" t="s">
        <v>1465</v>
      </c>
      <c r="B85" s="30"/>
      <c r="C85" s="30" t="s">
        <v>988</v>
      </c>
      <c r="D85" s="13">
        <v>28500</v>
      </c>
      <c r="E85" s="14">
        <v>236.29</v>
      </c>
      <c r="F85" s="15">
        <v>6.1809999999999999E-3</v>
      </c>
      <c r="G85" s="15"/>
    </row>
    <row r="86" spans="1:7" x14ac:dyDescent="0.35">
      <c r="A86" s="12" t="s">
        <v>1467</v>
      </c>
      <c r="B86" s="30"/>
      <c r="C86" s="30" t="s">
        <v>911</v>
      </c>
      <c r="D86" s="13">
        <v>4650</v>
      </c>
      <c r="E86" s="14">
        <v>176.16</v>
      </c>
      <c r="F86" s="15">
        <v>4.607E-3</v>
      </c>
      <c r="G86" s="15"/>
    </row>
    <row r="87" spans="1:7" x14ac:dyDescent="0.35">
      <c r="A87" s="12" t="s">
        <v>1881</v>
      </c>
      <c r="B87" s="30"/>
      <c r="C87" s="30" t="s">
        <v>940</v>
      </c>
      <c r="D87" s="13">
        <v>6000</v>
      </c>
      <c r="E87" s="14">
        <v>166.87</v>
      </c>
      <c r="F87" s="15">
        <v>4.3639999999999998E-3</v>
      </c>
      <c r="G87" s="15"/>
    </row>
    <row r="88" spans="1:7" x14ac:dyDescent="0.35">
      <c r="A88" s="12" t="s">
        <v>1885</v>
      </c>
      <c r="B88" s="30"/>
      <c r="C88" s="30" t="s">
        <v>885</v>
      </c>
      <c r="D88" s="13">
        <v>80000</v>
      </c>
      <c r="E88" s="14">
        <v>160.52000000000001</v>
      </c>
      <c r="F88" s="15">
        <v>4.1980000000000003E-3</v>
      </c>
      <c r="G88" s="15"/>
    </row>
    <row r="89" spans="1:7" x14ac:dyDescent="0.35">
      <c r="A89" s="16" t="s">
        <v>102</v>
      </c>
      <c r="B89" s="31"/>
      <c r="C89" s="31"/>
      <c r="D89" s="17"/>
      <c r="E89" s="37">
        <v>3129.39</v>
      </c>
      <c r="F89" s="38">
        <v>8.1854999999999997E-2</v>
      </c>
      <c r="G89" s="20"/>
    </row>
    <row r="90" spans="1:7" x14ac:dyDescent="0.35">
      <c r="A90" s="12"/>
      <c r="B90" s="30"/>
      <c r="C90" s="30"/>
      <c r="D90" s="13"/>
      <c r="E90" s="14"/>
      <c r="F90" s="15"/>
      <c r="G90" s="15"/>
    </row>
    <row r="91" spans="1:7" x14ac:dyDescent="0.35">
      <c r="A91" s="12"/>
      <c r="B91" s="30"/>
      <c r="C91" s="30"/>
      <c r="D91" s="13"/>
      <c r="E91" s="14"/>
      <c r="F91" s="15"/>
      <c r="G91" s="15"/>
    </row>
    <row r="92" spans="1:7" x14ac:dyDescent="0.35">
      <c r="A92" s="12"/>
      <c r="B92" s="30"/>
      <c r="C92" s="30"/>
      <c r="D92" s="13"/>
      <c r="E92" s="14"/>
      <c r="F92" s="15"/>
      <c r="G92" s="15"/>
    </row>
    <row r="93" spans="1:7" x14ac:dyDescent="0.35">
      <c r="A93" s="21" t="s">
        <v>129</v>
      </c>
      <c r="B93" s="32"/>
      <c r="C93" s="32"/>
      <c r="D93" s="22"/>
      <c r="E93" s="18">
        <v>3129.39</v>
      </c>
      <c r="F93" s="19">
        <v>8.1854999999999997E-2</v>
      </c>
      <c r="G93" s="20"/>
    </row>
    <row r="94" spans="1:7" x14ac:dyDescent="0.35">
      <c r="A94" s="12"/>
      <c r="B94" s="30"/>
      <c r="C94" s="30"/>
      <c r="D94" s="13"/>
      <c r="E94" s="14"/>
      <c r="F94" s="15"/>
      <c r="G94" s="15"/>
    </row>
    <row r="95" spans="1:7" x14ac:dyDescent="0.35">
      <c r="A95" s="16" t="s">
        <v>137</v>
      </c>
      <c r="B95" s="30"/>
      <c r="C95" s="30"/>
      <c r="D95" s="13"/>
      <c r="E95" s="14"/>
      <c r="F95" s="15"/>
      <c r="G95" s="15"/>
    </row>
    <row r="96" spans="1:7" x14ac:dyDescent="0.35">
      <c r="A96" s="16" t="s">
        <v>138</v>
      </c>
      <c r="B96" s="30"/>
      <c r="C96" s="30"/>
      <c r="D96" s="13"/>
      <c r="E96" s="14"/>
      <c r="F96" s="15"/>
      <c r="G96" s="15"/>
    </row>
    <row r="97" spans="1:7" x14ac:dyDescent="0.35">
      <c r="A97" s="12" t="s">
        <v>543</v>
      </c>
      <c r="B97" s="30" t="s">
        <v>544</v>
      </c>
      <c r="C97" s="30" t="s">
        <v>141</v>
      </c>
      <c r="D97" s="13">
        <v>2000000</v>
      </c>
      <c r="E97" s="14">
        <v>1994.25</v>
      </c>
      <c r="F97" s="15">
        <v>5.2200000000000003E-2</v>
      </c>
      <c r="G97" s="15">
        <v>7.4450000000000002E-2</v>
      </c>
    </row>
    <row r="98" spans="1:7" x14ac:dyDescent="0.35">
      <c r="A98" s="16" t="s">
        <v>102</v>
      </c>
      <c r="B98" s="31"/>
      <c r="C98" s="31"/>
      <c r="D98" s="17"/>
      <c r="E98" s="37">
        <v>1994.25</v>
      </c>
      <c r="F98" s="38">
        <v>5.2200000000000003E-2</v>
      </c>
      <c r="G98" s="20"/>
    </row>
    <row r="99" spans="1:7" x14ac:dyDescent="0.35">
      <c r="A99" s="12"/>
      <c r="B99" s="30"/>
      <c r="C99" s="30"/>
      <c r="D99" s="13"/>
      <c r="E99" s="14"/>
      <c r="F99" s="15"/>
      <c r="G99" s="15"/>
    </row>
    <row r="100" spans="1:7" x14ac:dyDescent="0.35">
      <c r="A100" s="16" t="s">
        <v>403</v>
      </c>
      <c r="B100" s="30"/>
      <c r="C100" s="30"/>
      <c r="D100" s="13"/>
      <c r="E100" s="14"/>
      <c r="F100" s="15"/>
      <c r="G100" s="15"/>
    </row>
    <row r="101" spans="1:7" x14ac:dyDescent="0.35">
      <c r="A101" s="12" t="s">
        <v>758</v>
      </c>
      <c r="B101" s="30" t="s">
        <v>759</v>
      </c>
      <c r="C101" s="30" t="s">
        <v>101</v>
      </c>
      <c r="D101" s="13">
        <v>1600000</v>
      </c>
      <c r="E101" s="14">
        <v>1519.44</v>
      </c>
      <c r="F101" s="15">
        <v>3.9699999999999999E-2</v>
      </c>
      <c r="G101" s="15">
        <v>7.3070999999999997E-2</v>
      </c>
    </row>
    <row r="102" spans="1:7" x14ac:dyDescent="0.35">
      <c r="A102" s="12" t="s">
        <v>524</v>
      </c>
      <c r="B102" s="30" t="s">
        <v>525</v>
      </c>
      <c r="C102" s="30" t="s">
        <v>101</v>
      </c>
      <c r="D102" s="13">
        <v>1500000</v>
      </c>
      <c r="E102" s="14">
        <v>1499.91</v>
      </c>
      <c r="F102" s="15">
        <v>3.9199999999999999E-2</v>
      </c>
      <c r="G102" s="15">
        <v>7.3780999999999999E-2</v>
      </c>
    </row>
    <row r="103" spans="1:7" x14ac:dyDescent="0.35">
      <c r="A103" s="12" t="s">
        <v>404</v>
      </c>
      <c r="B103" s="30" t="s">
        <v>405</v>
      </c>
      <c r="C103" s="30" t="s">
        <v>101</v>
      </c>
      <c r="D103" s="13">
        <v>1000000</v>
      </c>
      <c r="E103" s="14">
        <v>983.36</v>
      </c>
      <c r="F103" s="15">
        <v>2.5700000000000001E-2</v>
      </c>
      <c r="G103" s="15">
        <v>7.4279999999999999E-2</v>
      </c>
    </row>
    <row r="104" spans="1:7" x14ac:dyDescent="0.35">
      <c r="A104" s="16" t="s">
        <v>102</v>
      </c>
      <c r="B104" s="31"/>
      <c r="C104" s="31"/>
      <c r="D104" s="17"/>
      <c r="E104" s="37">
        <v>4002.71</v>
      </c>
      <c r="F104" s="38">
        <v>0.1046</v>
      </c>
      <c r="G104" s="20"/>
    </row>
    <row r="105" spans="1:7" x14ac:dyDescent="0.35">
      <c r="A105" s="12"/>
      <c r="B105" s="30"/>
      <c r="C105" s="30"/>
      <c r="D105" s="13"/>
      <c r="E105" s="14"/>
      <c r="F105" s="15"/>
      <c r="G105" s="15"/>
    </row>
    <row r="106" spans="1:7" x14ac:dyDescent="0.35">
      <c r="A106" s="16" t="s">
        <v>192</v>
      </c>
      <c r="B106" s="30"/>
      <c r="C106" s="30"/>
      <c r="D106" s="13"/>
      <c r="E106" s="14"/>
      <c r="F106" s="15"/>
      <c r="G106" s="15"/>
    </row>
    <row r="107" spans="1:7" x14ac:dyDescent="0.35">
      <c r="A107" s="16" t="s">
        <v>102</v>
      </c>
      <c r="B107" s="30"/>
      <c r="C107" s="30"/>
      <c r="D107" s="13"/>
      <c r="E107" s="39" t="s">
        <v>96</v>
      </c>
      <c r="F107" s="40" t="s">
        <v>96</v>
      </c>
      <c r="G107" s="15"/>
    </row>
    <row r="108" spans="1:7" x14ac:dyDescent="0.35">
      <c r="A108" s="12"/>
      <c r="B108" s="30"/>
      <c r="C108" s="30"/>
      <c r="D108" s="13"/>
      <c r="E108" s="14"/>
      <c r="F108" s="15"/>
      <c r="G108" s="15"/>
    </row>
    <row r="109" spans="1:7" x14ac:dyDescent="0.35">
      <c r="A109" s="16" t="s">
        <v>193</v>
      </c>
      <c r="B109" s="30"/>
      <c r="C109" s="30"/>
      <c r="D109" s="13"/>
      <c r="E109" s="14"/>
      <c r="F109" s="15"/>
      <c r="G109" s="15"/>
    </row>
    <row r="110" spans="1:7" x14ac:dyDescent="0.35">
      <c r="A110" s="16" t="s">
        <v>102</v>
      </c>
      <c r="B110" s="30"/>
      <c r="C110" s="30"/>
      <c r="D110" s="13"/>
      <c r="E110" s="39" t="s">
        <v>96</v>
      </c>
      <c r="F110" s="40" t="s">
        <v>96</v>
      </c>
      <c r="G110" s="15"/>
    </row>
    <row r="111" spans="1:7" x14ac:dyDescent="0.35">
      <c r="A111" s="12"/>
      <c r="B111" s="30"/>
      <c r="C111" s="30"/>
      <c r="D111" s="13"/>
      <c r="E111" s="14"/>
      <c r="F111" s="15"/>
      <c r="G111" s="15"/>
    </row>
    <row r="112" spans="1:7" x14ac:dyDescent="0.35">
      <c r="A112" s="21" t="s">
        <v>129</v>
      </c>
      <c r="B112" s="32"/>
      <c r="C112" s="32"/>
      <c r="D112" s="22"/>
      <c r="E112" s="18">
        <v>5996.96</v>
      </c>
      <c r="F112" s="19">
        <v>0.15679999999999999</v>
      </c>
      <c r="G112" s="20"/>
    </row>
    <row r="113" spans="1:7" x14ac:dyDescent="0.35">
      <c r="A113" s="12"/>
      <c r="B113" s="30"/>
      <c r="C113" s="30"/>
      <c r="D113" s="13"/>
      <c r="E113" s="14"/>
      <c r="F113" s="15"/>
      <c r="G113" s="15"/>
    </row>
    <row r="114" spans="1:7" x14ac:dyDescent="0.35">
      <c r="A114" s="12"/>
      <c r="B114" s="30"/>
      <c r="C114" s="30"/>
      <c r="D114" s="13"/>
      <c r="E114" s="14"/>
      <c r="F114" s="15"/>
      <c r="G114" s="15"/>
    </row>
    <row r="115" spans="1:7" x14ac:dyDescent="0.35">
      <c r="A115" s="16" t="s">
        <v>605</v>
      </c>
      <c r="B115" s="30"/>
      <c r="C115" s="30"/>
      <c r="D115" s="13"/>
      <c r="E115" s="14"/>
      <c r="F115" s="15"/>
      <c r="G115" s="15"/>
    </row>
    <row r="116" spans="1:7" x14ac:dyDescent="0.35">
      <c r="A116" s="12" t="s">
        <v>1666</v>
      </c>
      <c r="B116" s="30" t="s">
        <v>1667</v>
      </c>
      <c r="C116" s="30"/>
      <c r="D116" s="13">
        <v>13802.0762</v>
      </c>
      <c r="E116" s="14">
        <v>389.95</v>
      </c>
      <c r="F116" s="15">
        <v>1.0200000000000001E-2</v>
      </c>
      <c r="G116" s="15"/>
    </row>
    <row r="117" spans="1:7" x14ac:dyDescent="0.35">
      <c r="A117" s="12" t="s">
        <v>1886</v>
      </c>
      <c r="B117" s="30" t="s">
        <v>1887</v>
      </c>
      <c r="C117" s="30"/>
      <c r="D117" s="13">
        <v>1634279.088</v>
      </c>
      <c r="E117" s="14">
        <v>168.81</v>
      </c>
      <c r="F117" s="15">
        <v>4.4000000000000003E-3</v>
      </c>
      <c r="G117" s="15"/>
    </row>
    <row r="118" spans="1:7" x14ac:dyDescent="0.35">
      <c r="A118" s="12"/>
      <c r="B118" s="30"/>
      <c r="C118" s="30"/>
      <c r="D118" s="13"/>
      <c r="E118" s="14"/>
      <c r="F118" s="15"/>
      <c r="G118" s="15"/>
    </row>
    <row r="119" spans="1:7" x14ac:dyDescent="0.35">
      <c r="A119" s="21" t="s">
        <v>129</v>
      </c>
      <c r="B119" s="32"/>
      <c r="C119" s="32"/>
      <c r="D119" s="22"/>
      <c r="E119" s="18">
        <v>558.76</v>
      </c>
      <c r="F119" s="19">
        <v>1.46E-2</v>
      </c>
      <c r="G119" s="20"/>
    </row>
    <row r="120" spans="1:7" x14ac:dyDescent="0.35">
      <c r="A120" s="12"/>
      <c r="B120" s="30"/>
      <c r="C120" s="30"/>
      <c r="D120" s="13"/>
      <c r="E120" s="14"/>
      <c r="F120" s="15"/>
      <c r="G120" s="15"/>
    </row>
    <row r="121" spans="1:7" x14ac:dyDescent="0.35">
      <c r="A121" s="16" t="s">
        <v>130</v>
      </c>
      <c r="B121" s="30"/>
      <c r="C121" s="30"/>
      <c r="D121" s="13"/>
      <c r="E121" s="14"/>
      <c r="F121" s="15"/>
      <c r="G121" s="15"/>
    </row>
    <row r="122" spans="1:7" x14ac:dyDescent="0.35">
      <c r="A122" s="12" t="s">
        <v>131</v>
      </c>
      <c r="B122" s="30"/>
      <c r="C122" s="30"/>
      <c r="D122" s="13"/>
      <c r="E122" s="14">
        <v>6327.94</v>
      </c>
      <c r="F122" s="15">
        <v>0.16550000000000001</v>
      </c>
      <c r="G122" s="117">
        <v>6.1074000000000003E-2</v>
      </c>
    </row>
    <row r="123" spans="1:7" x14ac:dyDescent="0.35">
      <c r="A123" s="16" t="s">
        <v>102</v>
      </c>
      <c r="B123" s="31"/>
      <c r="C123" s="31"/>
      <c r="D123" s="17"/>
      <c r="E123" s="37">
        <v>6327.94</v>
      </c>
      <c r="F123" s="38">
        <v>0.16550000000000001</v>
      </c>
      <c r="G123" s="118"/>
    </row>
    <row r="124" spans="1:7" x14ac:dyDescent="0.35">
      <c r="A124" s="12"/>
      <c r="B124" s="30"/>
      <c r="C124" s="30"/>
      <c r="D124" s="13"/>
      <c r="E124" s="14"/>
      <c r="F124" s="15"/>
      <c r="G124" s="117"/>
    </row>
    <row r="125" spans="1:7" x14ac:dyDescent="0.35">
      <c r="A125" s="21" t="s">
        <v>129</v>
      </c>
      <c r="B125" s="32"/>
      <c r="C125" s="32"/>
      <c r="D125" s="22"/>
      <c r="E125" s="18">
        <v>6327.94</v>
      </c>
      <c r="F125" s="19">
        <v>0.16550000000000001</v>
      </c>
      <c r="G125" s="118"/>
    </row>
    <row r="126" spans="1:7" x14ac:dyDescent="0.35">
      <c r="A126" s="12" t="s">
        <v>132</v>
      </c>
      <c r="B126" s="30"/>
      <c r="C126" s="30"/>
      <c r="D126" s="13"/>
      <c r="E126" s="14">
        <v>107.7816322</v>
      </c>
      <c r="F126" s="15">
        <v>2.8189999999999999E-3</v>
      </c>
      <c r="G126" s="117"/>
    </row>
    <row r="127" spans="1:7" x14ac:dyDescent="0.35">
      <c r="A127" s="12" t="s">
        <v>133</v>
      </c>
      <c r="B127" s="30"/>
      <c r="C127" s="30"/>
      <c r="D127" s="13"/>
      <c r="E127" s="23">
        <v>-216.38163220000001</v>
      </c>
      <c r="F127" s="24">
        <v>-5.7190000000000001E-3</v>
      </c>
      <c r="G127" s="117">
        <v>6.1074000000000003E-2</v>
      </c>
    </row>
    <row r="128" spans="1:7" x14ac:dyDescent="0.35">
      <c r="A128" s="25" t="s">
        <v>134</v>
      </c>
      <c r="B128" s="33"/>
      <c r="C128" s="33"/>
      <c r="D128" s="26"/>
      <c r="E128" s="27">
        <v>38228.910000000003</v>
      </c>
      <c r="F128" s="28">
        <v>1</v>
      </c>
      <c r="G128" s="28"/>
    </row>
    <row r="130" spans="1:7" x14ac:dyDescent="0.35">
      <c r="A130" s="1" t="s">
        <v>1400</v>
      </c>
    </row>
    <row r="131" spans="1:7" x14ac:dyDescent="0.35">
      <c r="A131" s="1" t="s">
        <v>136</v>
      </c>
    </row>
    <row r="133" spans="1:7" x14ac:dyDescent="0.35">
      <c r="A133" s="1" t="s">
        <v>1981</v>
      </c>
    </row>
    <row r="134" spans="1:7" x14ac:dyDescent="0.35">
      <c r="A134" s="47" t="s">
        <v>1982</v>
      </c>
      <c r="B134" s="34" t="s">
        <v>96</v>
      </c>
    </row>
    <row r="135" spans="1:7" x14ac:dyDescent="0.35">
      <c r="A135" t="s">
        <v>1983</v>
      </c>
    </row>
    <row r="136" spans="1:7" x14ac:dyDescent="0.35">
      <c r="A136" t="s">
        <v>1984</v>
      </c>
      <c r="B136" t="s">
        <v>1985</v>
      </c>
      <c r="C136" t="s">
        <v>1985</v>
      </c>
    </row>
    <row r="137" spans="1:7" x14ac:dyDescent="0.35">
      <c r="B137" s="48">
        <v>44834</v>
      </c>
      <c r="C137" s="48">
        <v>44865</v>
      </c>
    </row>
    <row r="138" spans="1:7" x14ac:dyDescent="0.35">
      <c r="A138" t="s">
        <v>1989</v>
      </c>
      <c r="B138">
        <v>42.83</v>
      </c>
      <c r="C138">
        <v>44.54</v>
      </c>
      <c r="E138" s="2"/>
      <c r="G138"/>
    </row>
    <row r="139" spans="1:7" x14ac:dyDescent="0.35">
      <c r="A139" t="s">
        <v>1990</v>
      </c>
      <c r="B139">
        <v>24.19</v>
      </c>
      <c r="C139">
        <v>25.01</v>
      </c>
      <c r="E139" s="2"/>
      <c r="G139"/>
    </row>
    <row r="140" spans="1:7" x14ac:dyDescent="0.35">
      <c r="A140" t="s">
        <v>2036</v>
      </c>
      <c r="B140">
        <v>38.53</v>
      </c>
      <c r="C140">
        <v>40.020000000000003</v>
      </c>
      <c r="E140" s="2"/>
      <c r="G140"/>
    </row>
    <row r="141" spans="1:7" x14ac:dyDescent="0.35">
      <c r="A141" t="s">
        <v>2037</v>
      </c>
      <c r="B141">
        <v>39.28</v>
      </c>
      <c r="C141">
        <v>40.79</v>
      </c>
      <c r="E141" s="2"/>
      <c r="G141"/>
    </row>
    <row r="142" spans="1:7" x14ac:dyDescent="0.35">
      <c r="A142" t="s">
        <v>2014</v>
      </c>
      <c r="B142">
        <v>39.020000000000003</v>
      </c>
      <c r="C142">
        <v>40.51</v>
      </c>
      <c r="E142" s="2"/>
      <c r="G142"/>
    </row>
    <row r="143" spans="1:7" x14ac:dyDescent="0.35">
      <c r="A143" t="s">
        <v>2015</v>
      </c>
      <c r="B143">
        <v>21.41</v>
      </c>
      <c r="C143">
        <v>22.08</v>
      </c>
      <c r="E143" s="2"/>
      <c r="G143"/>
    </row>
    <row r="144" spans="1:7" x14ac:dyDescent="0.35">
      <c r="E144" s="2"/>
      <c r="G144"/>
    </row>
    <row r="145" spans="1:7" x14ac:dyDescent="0.35">
      <c r="A145" s="137" t="s">
        <v>2020</v>
      </c>
      <c r="B145" s="137"/>
      <c r="C145" s="137"/>
      <c r="D145" s="137"/>
    </row>
    <row r="146" spans="1:7" s="137" customFormat="1" x14ac:dyDescent="0.35">
      <c r="G146" s="2"/>
    </row>
    <row r="147" spans="1:7" s="137" customFormat="1" x14ac:dyDescent="0.35">
      <c r="A147" s="149" t="s">
        <v>2021</v>
      </c>
      <c r="B147" s="149" t="s">
        <v>2022</v>
      </c>
      <c r="C147" s="149" t="s">
        <v>2023</v>
      </c>
      <c r="D147" s="149" t="s">
        <v>2024</v>
      </c>
      <c r="G147" s="2"/>
    </row>
    <row r="148" spans="1:7" s="137" customFormat="1" x14ac:dyDescent="0.35">
      <c r="A148" s="149" t="s">
        <v>2151</v>
      </c>
      <c r="B148" s="149"/>
      <c r="C148" s="149">
        <v>0.15</v>
      </c>
      <c r="D148" s="149">
        <v>0.15</v>
      </c>
      <c r="G148" s="2"/>
    </row>
    <row r="149" spans="1:7" s="137" customFormat="1" x14ac:dyDescent="0.35">
      <c r="A149" s="149" t="s">
        <v>2044</v>
      </c>
      <c r="B149" s="149"/>
      <c r="C149" s="149">
        <v>0.15</v>
      </c>
      <c r="D149" s="149">
        <v>0.15</v>
      </c>
      <c r="G149" s="2"/>
    </row>
    <row r="150" spans="1:7" s="137" customFormat="1" x14ac:dyDescent="0.35">
      <c r="B150" s="34"/>
      <c r="G150" s="2"/>
    </row>
    <row r="151" spans="1:7" x14ac:dyDescent="0.35">
      <c r="A151" t="s">
        <v>2001</v>
      </c>
      <c r="B151" s="34" t="s">
        <v>96</v>
      </c>
    </row>
    <row r="152" spans="1:7" ht="29" x14ac:dyDescent="0.35">
      <c r="A152" s="47" t="s">
        <v>2002</v>
      </c>
      <c r="B152" s="34" t="s">
        <v>96</v>
      </c>
    </row>
    <row r="153" spans="1:7" ht="29" x14ac:dyDescent="0.35">
      <c r="A153" s="47" t="s">
        <v>2003</v>
      </c>
      <c r="B153" s="34" t="s">
        <v>96</v>
      </c>
    </row>
    <row r="154" spans="1:7" x14ac:dyDescent="0.35">
      <c r="A154" t="s">
        <v>2033</v>
      </c>
      <c r="B154" s="49">
        <v>1.851982</v>
      </c>
    </row>
    <row r="155" spans="1:7" ht="43.5" x14ac:dyDescent="0.35">
      <c r="A155" s="47" t="s">
        <v>2005</v>
      </c>
      <c r="B155" s="34">
        <v>3129.3918749999998</v>
      </c>
    </row>
    <row r="156" spans="1:7" ht="29" x14ac:dyDescent="0.35">
      <c r="A156" s="47" t="s">
        <v>2006</v>
      </c>
      <c r="B156" s="34" t="s">
        <v>96</v>
      </c>
    </row>
    <row r="157" spans="1:7" ht="29" x14ac:dyDescent="0.35">
      <c r="A157" s="47" t="s">
        <v>2009</v>
      </c>
      <c r="B157" s="34" t="s">
        <v>96</v>
      </c>
    </row>
    <row r="158" spans="1:7" ht="29" x14ac:dyDescent="0.35">
      <c r="A158" s="47" t="s">
        <v>2135</v>
      </c>
      <c r="B158" s="34" t="s">
        <v>96</v>
      </c>
    </row>
    <row r="159" spans="1:7" ht="29" x14ac:dyDescent="0.35">
      <c r="A159" s="47" t="s">
        <v>2136</v>
      </c>
      <c r="B159" s="34" t="s">
        <v>96</v>
      </c>
    </row>
    <row r="161" spans="1:4" ht="29" x14ac:dyDescent="0.35">
      <c r="A161" s="340" t="s">
        <v>2154</v>
      </c>
      <c r="B161" s="341" t="s">
        <v>2155</v>
      </c>
      <c r="C161" s="341" t="s">
        <v>2156</v>
      </c>
      <c r="D161" s="345" t="s">
        <v>2157</v>
      </c>
    </row>
    <row r="162" spans="1:4" ht="69" customHeight="1" x14ac:dyDescent="0.35">
      <c r="A162" s="344" t="s">
        <v>2210</v>
      </c>
      <c r="B162" s="342"/>
      <c r="C162" s="343" t="s">
        <v>2211</v>
      </c>
      <c r="D162" s="342"/>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E264-0749-4E18-90DA-C4FE39DA8716}">
  <dimension ref="A1:H109"/>
  <sheetViews>
    <sheetView showGridLines="0" workbookViewId="0">
      <pane ySplit="4" topLeftCell="A109" activePane="bottomLeft" state="frozen"/>
      <selection activeCell="A2" sqref="A2:XFD2"/>
      <selection pane="bottomLeft" activeCell="C109" sqref="C109"/>
    </sheetView>
  </sheetViews>
  <sheetFormatPr defaultRowHeight="14.5" x14ac:dyDescent="0.35"/>
  <cols>
    <col min="1" max="1" width="50.453125" customWidth="1"/>
    <col min="2" max="2" width="21.7265625" customWidth="1"/>
    <col min="3" max="3" width="26.6328125" customWidth="1"/>
    <col min="4" max="4" width="21.7265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75</v>
      </c>
      <c r="B1" s="151"/>
      <c r="C1" s="151"/>
      <c r="D1" s="151"/>
      <c r="E1" s="151"/>
      <c r="F1" s="151"/>
      <c r="G1" s="151"/>
      <c r="H1" s="50" t="str">
        <f>HYPERLINK("[EDEL_Portfolio Monthly Notes 31-Oct-2022.xlsx]Index!A1","Index")</f>
        <v>Index</v>
      </c>
    </row>
    <row r="2" spans="1:8" ht="31" customHeight="1" x14ac:dyDescent="0.35">
      <c r="A2" s="151" t="s">
        <v>76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938</v>
      </c>
      <c r="B8" s="30" t="s">
        <v>939</v>
      </c>
      <c r="C8" s="30" t="s">
        <v>940</v>
      </c>
      <c r="D8" s="13">
        <v>754305</v>
      </c>
      <c r="E8" s="14">
        <v>10167.280000000001</v>
      </c>
      <c r="F8" s="15">
        <v>4.24E-2</v>
      </c>
      <c r="G8" s="15"/>
    </row>
    <row r="9" spans="1:8" x14ac:dyDescent="0.35">
      <c r="A9" s="12" t="s">
        <v>1091</v>
      </c>
      <c r="B9" s="30" t="s">
        <v>1092</v>
      </c>
      <c r="C9" s="30" t="s">
        <v>934</v>
      </c>
      <c r="D9" s="13">
        <v>325034</v>
      </c>
      <c r="E9" s="14">
        <v>9912.7199999999993</v>
      </c>
      <c r="F9" s="15">
        <v>4.1399999999999999E-2</v>
      </c>
      <c r="G9" s="15"/>
    </row>
    <row r="10" spans="1:8" x14ac:dyDescent="0.35">
      <c r="A10" s="12" t="s">
        <v>1077</v>
      </c>
      <c r="B10" s="30" t="s">
        <v>1078</v>
      </c>
      <c r="C10" s="30" t="s">
        <v>862</v>
      </c>
      <c r="D10" s="13">
        <v>7536052</v>
      </c>
      <c r="E10" s="14">
        <v>9909.91</v>
      </c>
      <c r="F10" s="15">
        <v>4.1300000000000003E-2</v>
      </c>
      <c r="G10" s="15"/>
    </row>
    <row r="11" spans="1:8" x14ac:dyDescent="0.35">
      <c r="A11" s="12" t="s">
        <v>1561</v>
      </c>
      <c r="B11" s="30" t="s">
        <v>1562</v>
      </c>
      <c r="C11" s="30" t="s">
        <v>862</v>
      </c>
      <c r="D11" s="13">
        <v>4784424</v>
      </c>
      <c r="E11" s="14">
        <v>8899.0300000000007</v>
      </c>
      <c r="F11" s="15">
        <v>3.7100000000000001E-2</v>
      </c>
      <c r="G11" s="15"/>
    </row>
    <row r="12" spans="1:8" x14ac:dyDescent="0.35">
      <c r="A12" s="12" t="s">
        <v>1046</v>
      </c>
      <c r="B12" s="30" t="s">
        <v>1047</v>
      </c>
      <c r="C12" s="30" t="s">
        <v>1048</v>
      </c>
      <c r="D12" s="13">
        <v>579149</v>
      </c>
      <c r="E12" s="14">
        <v>8848.82</v>
      </c>
      <c r="F12" s="15">
        <v>3.6900000000000002E-2</v>
      </c>
      <c r="G12" s="15"/>
    </row>
    <row r="13" spans="1:8" x14ac:dyDescent="0.35">
      <c r="A13" s="12" t="s">
        <v>1087</v>
      </c>
      <c r="B13" s="30" t="s">
        <v>1088</v>
      </c>
      <c r="C13" s="30" t="s">
        <v>931</v>
      </c>
      <c r="D13" s="13">
        <v>175381</v>
      </c>
      <c r="E13" s="14">
        <v>7982.9</v>
      </c>
      <c r="F13" s="15">
        <v>3.3300000000000003E-2</v>
      </c>
      <c r="G13" s="15"/>
    </row>
    <row r="14" spans="1:8" x14ac:dyDescent="0.35">
      <c r="A14" s="12" t="s">
        <v>989</v>
      </c>
      <c r="B14" s="30" t="s">
        <v>990</v>
      </c>
      <c r="C14" s="30" t="s">
        <v>885</v>
      </c>
      <c r="D14" s="13">
        <v>1112125</v>
      </c>
      <c r="E14" s="14">
        <v>7888.86</v>
      </c>
      <c r="F14" s="15">
        <v>3.2899999999999999E-2</v>
      </c>
      <c r="G14" s="15"/>
    </row>
    <row r="15" spans="1:8" x14ac:dyDescent="0.35">
      <c r="A15" s="12" t="s">
        <v>1555</v>
      </c>
      <c r="B15" s="30" t="s">
        <v>1556</v>
      </c>
      <c r="C15" s="30" t="s">
        <v>862</v>
      </c>
      <c r="D15" s="13">
        <v>3079607</v>
      </c>
      <c r="E15" s="14">
        <v>7819.12</v>
      </c>
      <c r="F15" s="15">
        <v>3.2599999999999997E-2</v>
      </c>
      <c r="G15" s="15"/>
    </row>
    <row r="16" spans="1:8" x14ac:dyDescent="0.35">
      <c r="A16" s="12" t="s">
        <v>1530</v>
      </c>
      <c r="B16" s="30" t="s">
        <v>1531</v>
      </c>
      <c r="C16" s="30" t="s">
        <v>1057</v>
      </c>
      <c r="D16" s="13">
        <v>1408142</v>
      </c>
      <c r="E16" s="14">
        <v>6425.35</v>
      </c>
      <c r="F16" s="15">
        <v>2.6800000000000001E-2</v>
      </c>
      <c r="G16" s="15"/>
    </row>
    <row r="17" spans="1:7" x14ac:dyDescent="0.35">
      <c r="A17" s="12" t="s">
        <v>1180</v>
      </c>
      <c r="B17" s="30" t="s">
        <v>1181</v>
      </c>
      <c r="C17" s="30" t="s">
        <v>958</v>
      </c>
      <c r="D17" s="13">
        <v>1688009</v>
      </c>
      <c r="E17" s="14">
        <v>6115.66</v>
      </c>
      <c r="F17" s="15">
        <v>2.5499999999999998E-2</v>
      </c>
      <c r="G17" s="15"/>
    </row>
    <row r="18" spans="1:7" x14ac:dyDescent="0.35">
      <c r="A18" s="12" t="s">
        <v>979</v>
      </c>
      <c r="B18" s="30" t="s">
        <v>980</v>
      </c>
      <c r="C18" s="30" t="s">
        <v>888</v>
      </c>
      <c r="D18" s="13">
        <v>188241</v>
      </c>
      <c r="E18" s="14">
        <v>6102.68</v>
      </c>
      <c r="F18" s="15">
        <v>2.5499999999999998E-2</v>
      </c>
      <c r="G18" s="15"/>
    </row>
    <row r="19" spans="1:7" x14ac:dyDescent="0.35">
      <c r="A19" s="12" t="s">
        <v>866</v>
      </c>
      <c r="B19" s="30" t="s">
        <v>867</v>
      </c>
      <c r="C19" s="30" t="s">
        <v>868</v>
      </c>
      <c r="D19" s="13">
        <v>3790577</v>
      </c>
      <c r="E19" s="14">
        <v>5810.95</v>
      </c>
      <c r="F19" s="15">
        <v>2.4199999999999999E-2</v>
      </c>
      <c r="G19" s="15"/>
    </row>
    <row r="20" spans="1:7" x14ac:dyDescent="0.35">
      <c r="A20" s="12" t="s">
        <v>1419</v>
      </c>
      <c r="B20" s="30" t="s">
        <v>1420</v>
      </c>
      <c r="C20" s="30" t="s">
        <v>885</v>
      </c>
      <c r="D20" s="13">
        <v>538371</v>
      </c>
      <c r="E20" s="14">
        <v>5250.19</v>
      </c>
      <c r="F20" s="15">
        <v>2.1899999999999999E-2</v>
      </c>
      <c r="G20" s="15"/>
    </row>
    <row r="21" spans="1:7" x14ac:dyDescent="0.35">
      <c r="A21" s="12" t="s">
        <v>1102</v>
      </c>
      <c r="B21" s="30" t="s">
        <v>1103</v>
      </c>
      <c r="C21" s="30" t="s">
        <v>911</v>
      </c>
      <c r="D21" s="13">
        <v>140068</v>
      </c>
      <c r="E21" s="14">
        <v>5172.78</v>
      </c>
      <c r="F21" s="15">
        <v>2.1600000000000001E-2</v>
      </c>
      <c r="G21" s="15"/>
    </row>
    <row r="22" spans="1:7" x14ac:dyDescent="0.35">
      <c r="A22" s="12" t="s">
        <v>1423</v>
      </c>
      <c r="B22" s="30" t="s">
        <v>1424</v>
      </c>
      <c r="C22" s="30" t="s">
        <v>958</v>
      </c>
      <c r="D22" s="13">
        <v>475164</v>
      </c>
      <c r="E22" s="14">
        <v>5137.71</v>
      </c>
      <c r="F22" s="15">
        <v>2.1399999999999999E-2</v>
      </c>
      <c r="G22" s="15"/>
    </row>
    <row r="23" spans="1:7" x14ac:dyDescent="0.35">
      <c r="A23" s="12" t="s">
        <v>1818</v>
      </c>
      <c r="B23" s="30" t="s">
        <v>1819</v>
      </c>
      <c r="C23" s="30" t="s">
        <v>937</v>
      </c>
      <c r="D23" s="13">
        <v>246145</v>
      </c>
      <c r="E23" s="14">
        <v>5106.5200000000004</v>
      </c>
      <c r="F23" s="15">
        <v>2.1299999999999999E-2</v>
      </c>
      <c r="G23" s="15"/>
    </row>
    <row r="24" spans="1:7" x14ac:dyDescent="0.35">
      <c r="A24" s="12" t="s">
        <v>923</v>
      </c>
      <c r="B24" s="30" t="s">
        <v>924</v>
      </c>
      <c r="C24" s="30" t="s">
        <v>877</v>
      </c>
      <c r="D24" s="13">
        <v>4725879</v>
      </c>
      <c r="E24" s="14">
        <v>5049.6000000000004</v>
      </c>
      <c r="F24" s="15">
        <v>2.1100000000000001E-2</v>
      </c>
      <c r="G24" s="15"/>
    </row>
    <row r="25" spans="1:7" x14ac:dyDescent="0.35">
      <c r="A25" s="12" t="s">
        <v>1110</v>
      </c>
      <c r="B25" s="30" t="s">
        <v>1111</v>
      </c>
      <c r="C25" s="30" t="s">
        <v>898</v>
      </c>
      <c r="D25" s="13">
        <v>438390</v>
      </c>
      <c r="E25" s="14">
        <v>5024.17</v>
      </c>
      <c r="F25" s="15">
        <v>2.1000000000000001E-2</v>
      </c>
      <c r="G25" s="15"/>
    </row>
    <row r="26" spans="1:7" x14ac:dyDescent="0.35">
      <c r="A26" s="12" t="s">
        <v>929</v>
      </c>
      <c r="B26" s="30" t="s">
        <v>930</v>
      </c>
      <c r="C26" s="30" t="s">
        <v>931</v>
      </c>
      <c r="D26" s="13">
        <v>413712</v>
      </c>
      <c r="E26" s="14">
        <v>4686.53</v>
      </c>
      <c r="F26" s="15">
        <v>1.9599999999999999E-2</v>
      </c>
      <c r="G26" s="15"/>
    </row>
    <row r="27" spans="1:7" x14ac:dyDescent="0.35">
      <c r="A27" s="12" t="s">
        <v>1421</v>
      </c>
      <c r="B27" s="30" t="s">
        <v>1422</v>
      </c>
      <c r="C27" s="30" t="s">
        <v>1015</v>
      </c>
      <c r="D27" s="13">
        <v>916809</v>
      </c>
      <c r="E27" s="14">
        <v>4579.92</v>
      </c>
      <c r="F27" s="15">
        <v>1.9099999999999999E-2</v>
      </c>
      <c r="G27" s="15"/>
    </row>
    <row r="28" spans="1:7" x14ac:dyDescent="0.35">
      <c r="A28" s="12" t="s">
        <v>1528</v>
      </c>
      <c r="B28" s="30" t="s">
        <v>1529</v>
      </c>
      <c r="C28" s="30" t="s">
        <v>943</v>
      </c>
      <c r="D28" s="13">
        <v>215663</v>
      </c>
      <c r="E28" s="14">
        <v>4256.1099999999997</v>
      </c>
      <c r="F28" s="15">
        <v>1.78E-2</v>
      </c>
      <c r="G28" s="15"/>
    </row>
    <row r="29" spans="1:7" x14ac:dyDescent="0.35">
      <c r="A29" s="12" t="s">
        <v>1617</v>
      </c>
      <c r="B29" s="30" t="s">
        <v>1618</v>
      </c>
      <c r="C29" s="30" t="s">
        <v>1048</v>
      </c>
      <c r="D29" s="13">
        <v>292831</v>
      </c>
      <c r="E29" s="14">
        <v>4243.2700000000004</v>
      </c>
      <c r="F29" s="15">
        <v>1.77E-2</v>
      </c>
      <c r="G29" s="15"/>
    </row>
    <row r="30" spans="1:7" x14ac:dyDescent="0.35">
      <c r="A30" s="12" t="s">
        <v>1526</v>
      </c>
      <c r="B30" s="30" t="s">
        <v>1527</v>
      </c>
      <c r="C30" s="30" t="s">
        <v>953</v>
      </c>
      <c r="D30" s="13">
        <v>4715843</v>
      </c>
      <c r="E30" s="14">
        <v>4126.3599999999997</v>
      </c>
      <c r="F30" s="15">
        <v>1.72E-2</v>
      </c>
      <c r="G30" s="15"/>
    </row>
    <row r="31" spans="1:7" x14ac:dyDescent="0.35">
      <c r="A31" s="12" t="s">
        <v>1549</v>
      </c>
      <c r="B31" s="30" t="s">
        <v>1550</v>
      </c>
      <c r="C31" s="30" t="s">
        <v>1010</v>
      </c>
      <c r="D31" s="13">
        <v>859067</v>
      </c>
      <c r="E31" s="14">
        <v>4072.41</v>
      </c>
      <c r="F31" s="15">
        <v>1.7000000000000001E-2</v>
      </c>
      <c r="G31" s="15"/>
    </row>
    <row r="32" spans="1:7" x14ac:dyDescent="0.35">
      <c r="A32" s="12" t="s">
        <v>1411</v>
      </c>
      <c r="B32" s="30" t="s">
        <v>1412</v>
      </c>
      <c r="C32" s="30" t="s">
        <v>953</v>
      </c>
      <c r="D32" s="13">
        <v>732523</v>
      </c>
      <c r="E32" s="14">
        <v>3931.45</v>
      </c>
      <c r="F32" s="15">
        <v>1.6400000000000001E-2</v>
      </c>
      <c r="G32" s="15"/>
    </row>
    <row r="33" spans="1:7" x14ac:dyDescent="0.35">
      <c r="A33" s="12" t="s">
        <v>1063</v>
      </c>
      <c r="B33" s="30" t="s">
        <v>1064</v>
      </c>
      <c r="C33" s="30" t="s">
        <v>943</v>
      </c>
      <c r="D33" s="13">
        <v>829794</v>
      </c>
      <c r="E33" s="14">
        <v>3771.83</v>
      </c>
      <c r="F33" s="15">
        <v>1.5699999999999999E-2</v>
      </c>
      <c r="G33" s="15"/>
    </row>
    <row r="34" spans="1:7" x14ac:dyDescent="0.35">
      <c r="A34" s="12" t="s">
        <v>1563</v>
      </c>
      <c r="B34" s="30" t="s">
        <v>1564</v>
      </c>
      <c r="C34" s="30" t="s">
        <v>940</v>
      </c>
      <c r="D34" s="13">
        <v>410283</v>
      </c>
      <c r="E34" s="14">
        <v>3733.58</v>
      </c>
      <c r="F34" s="15">
        <v>1.5599999999999999E-2</v>
      </c>
      <c r="G34" s="15"/>
    </row>
    <row r="35" spans="1:7" x14ac:dyDescent="0.35">
      <c r="A35" s="12" t="s">
        <v>1178</v>
      </c>
      <c r="B35" s="30" t="s">
        <v>1179</v>
      </c>
      <c r="C35" s="30" t="s">
        <v>940</v>
      </c>
      <c r="D35" s="13">
        <v>435092</v>
      </c>
      <c r="E35" s="14">
        <v>3629.54</v>
      </c>
      <c r="F35" s="15">
        <v>1.5100000000000001E-2</v>
      </c>
      <c r="G35" s="15"/>
    </row>
    <row r="36" spans="1:7" x14ac:dyDescent="0.35">
      <c r="A36" s="12" t="s">
        <v>1509</v>
      </c>
      <c r="B36" s="30" t="s">
        <v>1510</v>
      </c>
      <c r="C36" s="30" t="s">
        <v>931</v>
      </c>
      <c r="D36" s="13">
        <v>90310</v>
      </c>
      <c r="E36" s="14">
        <v>3523.76</v>
      </c>
      <c r="F36" s="15">
        <v>1.47E-2</v>
      </c>
      <c r="G36" s="15"/>
    </row>
    <row r="37" spans="1:7" x14ac:dyDescent="0.35">
      <c r="A37" s="12" t="s">
        <v>1167</v>
      </c>
      <c r="B37" s="30" t="s">
        <v>1168</v>
      </c>
      <c r="C37" s="30" t="s">
        <v>974</v>
      </c>
      <c r="D37" s="13">
        <v>545925</v>
      </c>
      <c r="E37" s="14">
        <v>3329.87</v>
      </c>
      <c r="F37" s="15">
        <v>1.3899999999999999E-2</v>
      </c>
      <c r="G37" s="15"/>
    </row>
    <row r="38" spans="1:7" x14ac:dyDescent="0.35">
      <c r="A38" s="12" t="s">
        <v>1425</v>
      </c>
      <c r="B38" s="30" t="s">
        <v>1426</v>
      </c>
      <c r="C38" s="30" t="s">
        <v>974</v>
      </c>
      <c r="D38" s="13">
        <v>434069</v>
      </c>
      <c r="E38" s="14">
        <v>3245.97</v>
      </c>
      <c r="F38" s="15">
        <v>1.35E-2</v>
      </c>
      <c r="G38" s="15"/>
    </row>
    <row r="39" spans="1:7" x14ac:dyDescent="0.35">
      <c r="A39" s="12" t="s">
        <v>1195</v>
      </c>
      <c r="B39" s="30" t="s">
        <v>1196</v>
      </c>
      <c r="C39" s="30" t="s">
        <v>995</v>
      </c>
      <c r="D39" s="13">
        <v>612616</v>
      </c>
      <c r="E39" s="14">
        <v>3177.03</v>
      </c>
      <c r="F39" s="15">
        <v>1.3299999999999999E-2</v>
      </c>
      <c r="G39" s="15"/>
    </row>
    <row r="40" spans="1:7" x14ac:dyDescent="0.35">
      <c r="A40" s="12" t="s">
        <v>1145</v>
      </c>
      <c r="B40" s="30" t="s">
        <v>1146</v>
      </c>
      <c r="C40" s="30" t="s">
        <v>943</v>
      </c>
      <c r="D40" s="13">
        <v>335434</v>
      </c>
      <c r="E40" s="14">
        <v>3036.01</v>
      </c>
      <c r="F40" s="15">
        <v>1.2699999999999999E-2</v>
      </c>
      <c r="G40" s="15"/>
    </row>
    <row r="41" spans="1:7" x14ac:dyDescent="0.35">
      <c r="A41" s="12" t="s">
        <v>1446</v>
      </c>
      <c r="B41" s="30" t="s">
        <v>1447</v>
      </c>
      <c r="C41" s="30" t="s">
        <v>908</v>
      </c>
      <c r="D41" s="13">
        <v>105608</v>
      </c>
      <c r="E41" s="14">
        <v>2864.78</v>
      </c>
      <c r="F41" s="15">
        <v>1.2E-2</v>
      </c>
      <c r="G41" s="15"/>
    </row>
    <row r="42" spans="1:7" x14ac:dyDescent="0.35">
      <c r="A42" s="12" t="s">
        <v>1089</v>
      </c>
      <c r="B42" s="30" t="s">
        <v>1090</v>
      </c>
      <c r="C42" s="30" t="s">
        <v>940</v>
      </c>
      <c r="D42" s="13">
        <v>126652</v>
      </c>
      <c r="E42" s="14">
        <v>2572.4899999999998</v>
      </c>
      <c r="F42" s="15">
        <v>1.0699999999999999E-2</v>
      </c>
      <c r="G42" s="15"/>
    </row>
    <row r="43" spans="1:7" x14ac:dyDescent="0.35">
      <c r="A43" s="12" t="s">
        <v>1573</v>
      </c>
      <c r="B43" s="30" t="s">
        <v>1574</v>
      </c>
      <c r="C43" s="30" t="s">
        <v>908</v>
      </c>
      <c r="D43" s="13">
        <v>453159</v>
      </c>
      <c r="E43" s="14">
        <v>2505.52</v>
      </c>
      <c r="F43" s="15">
        <v>1.0500000000000001E-2</v>
      </c>
      <c r="G43" s="15"/>
    </row>
    <row r="44" spans="1:7" x14ac:dyDescent="0.35">
      <c r="A44" s="12" t="s">
        <v>1538</v>
      </c>
      <c r="B44" s="30" t="s">
        <v>1539</v>
      </c>
      <c r="C44" s="30" t="s">
        <v>1540</v>
      </c>
      <c r="D44" s="13">
        <v>595894</v>
      </c>
      <c r="E44" s="14">
        <v>2462.23</v>
      </c>
      <c r="F44" s="15">
        <v>1.03E-2</v>
      </c>
      <c r="G44" s="15"/>
    </row>
    <row r="45" spans="1:7" x14ac:dyDescent="0.35">
      <c r="A45" s="12" t="s">
        <v>899</v>
      </c>
      <c r="B45" s="30" t="s">
        <v>900</v>
      </c>
      <c r="C45" s="30" t="s">
        <v>901</v>
      </c>
      <c r="D45" s="13">
        <v>1078978</v>
      </c>
      <c r="E45" s="14">
        <v>2438.4899999999998</v>
      </c>
      <c r="F45" s="15">
        <v>1.0200000000000001E-2</v>
      </c>
      <c r="G45" s="15"/>
    </row>
    <row r="46" spans="1:7" x14ac:dyDescent="0.35">
      <c r="A46" s="12" t="s">
        <v>1038</v>
      </c>
      <c r="B46" s="30" t="s">
        <v>1039</v>
      </c>
      <c r="C46" s="30" t="s">
        <v>1015</v>
      </c>
      <c r="D46" s="13">
        <v>253907</v>
      </c>
      <c r="E46" s="14">
        <v>2347.75</v>
      </c>
      <c r="F46" s="15">
        <v>9.7999999999999997E-3</v>
      </c>
      <c r="G46" s="15"/>
    </row>
    <row r="47" spans="1:7" x14ac:dyDescent="0.35">
      <c r="A47" s="12" t="s">
        <v>1197</v>
      </c>
      <c r="B47" s="30" t="s">
        <v>1198</v>
      </c>
      <c r="C47" s="30" t="s">
        <v>1199</v>
      </c>
      <c r="D47" s="13">
        <v>4671</v>
      </c>
      <c r="E47" s="14">
        <v>2324.69</v>
      </c>
      <c r="F47" s="15">
        <v>9.7000000000000003E-3</v>
      </c>
      <c r="G47" s="15"/>
    </row>
    <row r="48" spans="1:7" x14ac:dyDescent="0.35">
      <c r="A48" s="12" t="s">
        <v>1534</v>
      </c>
      <c r="B48" s="30" t="s">
        <v>1535</v>
      </c>
      <c r="C48" s="30" t="s">
        <v>868</v>
      </c>
      <c r="D48" s="13">
        <v>661143</v>
      </c>
      <c r="E48" s="14">
        <v>2039.96</v>
      </c>
      <c r="F48" s="15">
        <v>8.5000000000000006E-3</v>
      </c>
      <c r="G48" s="15"/>
    </row>
    <row r="49" spans="1:7" x14ac:dyDescent="0.35">
      <c r="A49" s="12" t="s">
        <v>1120</v>
      </c>
      <c r="B49" s="30" t="s">
        <v>1121</v>
      </c>
      <c r="C49" s="30" t="s">
        <v>983</v>
      </c>
      <c r="D49" s="13">
        <v>283053</v>
      </c>
      <c r="E49" s="14">
        <v>2004.16</v>
      </c>
      <c r="F49" s="15">
        <v>8.3999999999999995E-3</v>
      </c>
      <c r="G49" s="15"/>
    </row>
    <row r="50" spans="1:7" x14ac:dyDescent="0.35">
      <c r="A50" s="12" t="s">
        <v>1579</v>
      </c>
      <c r="B50" s="30" t="s">
        <v>1580</v>
      </c>
      <c r="C50" s="30" t="s">
        <v>922</v>
      </c>
      <c r="D50" s="13">
        <v>105204</v>
      </c>
      <c r="E50" s="14">
        <v>1991.51</v>
      </c>
      <c r="F50" s="15">
        <v>8.3000000000000001E-3</v>
      </c>
      <c r="G50" s="15"/>
    </row>
    <row r="51" spans="1:7" x14ac:dyDescent="0.35">
      <c r="A51" s="12" t="s">
        <v>1108</v>
      </c>
      <c r="B51" s="30" t="s">
        <v>1109</v>
      </c>
      <c r="C51" s="30" t="s">
        <v>1057</v>
      </c>
      <c r="D51" s="13">
        <v>311281</v>
      </c>
      <c r="E51" s="14">
        <v>1965.12</v>
      </c>
      <c r="F51" s="15">
        <v>8.2000000000000007E-3</v>
      </c>
      <c r="G51" s="15"/>
    </row>
    <row r="52" spans="1:7" x14ac:dyDescent="0.35">
      <c r="A52" s="12" t="s">
        <v>1051</v>
      </c>
      <c r="B52" s="30" t="s">
        <v>1052</v>
      </c>
      <c r="C52" s="30" t="s">
        <v>885</v>
      </c>
      <c r="D52" s="13">
        <v>351079</v>
      </c>
      <c r="E52" s="14">
        <v>1840.88</v>
      </c>
      <c r="F52" s="15">
        <v>7.7000000000000002E-3</v>
      </c>
      <c r="G52" s="15"/>
    </row>
    <row r="53" spans="1:7" x14ac:dyDescent="0.35">
      <c r="A53" s="12" t="s">
        <v>1098</v>
      </c>
      <c r="B53" s="30" t="s">
        <v>1099</v>
      </c>
      <c r="C53" s="30" t="s">
        <v>885</v>
      </c>
      <c r="D53" s="13">
        <v>453877</v>
      </c>
      <c r="E53" s="14">
        <v>1839.56</v>
      </c>
      <c r="F53" s="15">
        <v>7.7000000000000002E-3</v>
      </c>
      <c r="G53" s="15"/>
    </row>
    <row r="54" spans="1:7" x14ac:dyDescent="0.35">
      <c r="A54" s="12" t="s">
        <v>1049</v>
      </c>
      <c r="B54" s="30" t="s">
        <v>1050</v>
      </c>
      <c r="C54" s="30" t="s">
        <v>908</v>
      </c>
      <c r="D54" s="13">
        <v>105408</v>
      </c>
      <c r="E54" s="14">
        <v>1687.53</v>
      </c>
      <c r="F54" s="15">
        <v>7.0000000000000001E-3</v>
      </c>
      <c r="G54" s="15"/>
    </row>
    <row r="55" spans="1:7" x14ac:dyDescent="0.35">
      <c r="A55" s="12" t="s">
        <v>1448</v>
      </c>
      <c r="B55" s="30" t="s">
        <v>1449</v>
      </c>
      <c r="C55" s="30" t="s">
        <v>1022</v>
      </c>
      <c r="D55" s="13">
        <v>726025</v>
      </c>
      <c r="E55" s="14">
        <v>1616.13</v>
      </c>
      <c r="F55" s="15">
        <v>6.7000000000000002E-3</v>
      </c>
      <c r="G55" s="15"/>
    </row>
    <row r="56" spans="1:7" x14ac:dyDescent="0.35">
      <c r="A56" s="12" t="s">
        <v>1541</v>
      </c>
      <c r="B56" s="30" t="s">
        <v>1542</v>
      </c>
      <c r="C56" s="30" t="s">
        <v>1540</v>
      </c>
      <c r="D56" s="13">
        <v>85177</v>
      </c>
      <c r="E56" s="14">
        <v>1571.98</v>
      </c>
      <c r="F56" s="15">
        <v>6.6E-3</v>
      </c>
      <c r="G56" s="15"/>
    </row>
    <row r="57" spans="1:7" x14ac:dyDescent="0.35">
      <c r="A57" s="12" t="s">
        <v>1141</v>
      </c>
      <c r="B57" s="30" t="s">
        <v>1142</v>
      </c>
      <c r="C57" s="30" t="s">
        <v>931</v>
      </c>
      <c r="D57" s="13">
        <v>17262</v>
      </c>
      <c r="E57" s="14">
        <v>1445.4</v>
      </c>
      <c r="F57" s="15">
        <v>6.0000000000000001E-3</v>
      </c>
      <c r="G57" s="15"/>
    </row>
    <row r="58" spans="1:7" x14ac:dyDescent="0.35">
      <c r="A58" s="12" t="s">
        <v>1133</v>
      </c>
      <c r="B58" s="30" t="s">
        <v>1134</v>
      </c>
      <c r="C58" s="30" t="s">
        <v>971</v>
      </c>
      <c r="D58" s="13">
        <v>276621</v>
      </c>
      <c r="E58" s="14">
        <v>1272.04</v>
      </c>
      <c r="F58" s="15">
        <v>5.3E-3</v>
      </c>
      <c r="G58" s="15"/>
    </row>
    <row r="59" spans="1:7" x14ac:dyDescent="0.35">
      <c r="A59" s="12" t="s">
        <v>1547</v>
      </c>
      <c r="B59" s="30" t="s">
        <v>1548</v>
      </c>
      <c r="C59" s="30" t="s">
        <v>958</v>
      </c>
      <c r="D59" s="13">
        <v>26813</v>
      </c>
      <c r="E59" s="14">
        <v>1211.04</v>
      </c>
      <c r="F59" s="15">
        <v>5.1000000000000004E-3</v>
      </c>
      <c r="G59" s="15"/>
    </row>
    <row r="60" spans="1:7" x14ac:dyDescent="0.35">
      <c r="A60" s="12" t="s">
        <v>1061</v>
      </c>
      <c r="B60" s="30" t="s">
        <v>1062</v>
      </c>
      <c r="C60" s="30" t="s">
        <v>911</v>
      </c>
      <c r="D60" s="13">
        <v>416165</v>
      </c>
      <c r="E60" s="14">
        <v>1127.18</v>
      </c>
      <c r="F60" s="15">
        <v>4.7000000000000002E-3</v>
      </c>
      <c r="G60" s="15"/>
    </row>
    <row r="61" spans="1:7" x14ac:dyDescent="0.35">
      <c r="A61" s="12" t="s">
        <v>1545</v>
      </c>
      <c r="B61" s="30" t="s">
        <v>1546</v>
      </c>
      <c r="C61" s="30" t="s">
        <v>958</v>
      </c>
      <c r="D61" s="13">
        <v>184882</v>
      </c>
      <c r="E61" s="14">
        <v>1105.78</v>
      </c>
      <c r="F61" s="15">
        <v>4.5999999999999999E-3</v>
      </c>
      <c r="G61" s="15"/>
    </row>
    <row r="62" spans="1:7" x14ac:dyDescent="0.35">
      <c r="A62" s="12" t="s">
        <v>1532</v>
      </c>
      <c r="B62" s="30" t="s">
        <v>1533</v>
      </c>
      <c r="C62" s="30" t="s">
        <v>940</v>
      </c>
      <c r="D62" s="13">
        <v>98884</v>
      </c>
      <c r="E62" s="14">
        <v>1066.9100000000001</v>
      </c>
      <c r="F62" s="15">
        <v>4.4999999999999997E-3</v>
      </c>
      <c r="G62" s="15"/>
    </row>
    <row r="63" spans="1:7" x14ac:dyDescent="0.35">
      <c r="A63" s="12" t="s">
        <v>1598</v>
      </c>
      <c r="B63" s="30" t="s">
        <v>1599</v>
      </c>
      <c r="C63" s="30" t="s">
        <v>953</v>
      </c>
      <c r="D63" s="13">
        <v>278590</v>
      </c>
      <c r="E63" s="14">
        <v>918.65</v>
      </c>
      <c r="F63" s="15">
        <v>3.8E-3</v>
      </c>
      <c r="G63" s="15"/>
    </row>
    <row r="64" spans="1:7" x14ac:dyDescent="0.35">
      <c r="A64" s="12" t="s">
        <v>1515</v>
      </c>
      <c r="B64" s="30" t="s">
        <v>1516</v>
      </c>
      <c r="C64" s="30" t="s">
        <v>940</v>
      </c>
      <c r="D64" s="13">
        <v>25811</v>
      </c>
      <c r="E64" s="14">
        <v>692.19</v>
      </c>
      <c r="F64" s="15">
        <v>2.8999999999999998E-3</v>
      </c>
      <c r="G64" s="15"/>
    </row>
    <row r="65" spans="1:7" x14ac:dyDescent="0.35">
      <c r="A65" s="12" t="s">
        <v>1557</v>
      </c>
      <c r="B65" s="30" t="s">
        <v>1558</v>
      </c>
      <c r="C65" s="30" t="s">
        <v>922</v>
      </c>
      <c r="D65" s="13">
        <v>812960</v>
      </c>
      <c r="E65" s="14">
        <v>591.83000000000004</v>
      </c>
      <c r="F65" s="15">
        <v>2.5000000000000001E-3</v>
      </c>
      <c r="G65" s="15"/>
    </row>
    <row r="66" spans="1:7" x14ac:dyDescent="0.35">
      <c r="A66" s="12" t="s">
        <v>1685</v>
      </c>
      <c r="B66" s="30" t="s">
        <v>1686</v>
      </c>
      <c r="C66" s="30" t="s">
        <v>885</v>
      </c>
      <c r="D66" s="13">
        <v>38985</v>
      </c>
      <c r="E66" s="14">
        <v>479.18</v>
      </c>
      <c r="F66" s="15">
        <v>2E-3</v>
      </c>
      <c r="G66" s="15"/>
    </row>
    <row r="67" spans="1:7" x14ac:dyDescent="0.35">
      <c r="A67" s="12" t="s">
        <v>1553</v>
      </c>
      <c r="B67" s="30" t="s">
        <v>1554</v>
      </c>
      <c r="C67" s="30" t="s">
        <v>922</v>
      </c>
      <c r="D67" s="13">
        <v>86401</v>
      </c>
      <c r="E67" s="14">
        <v>465.31</v>
      </c>
      <c r="F67" s="15">
        <v>1.9E-3</v>
      </c>
      <c r="G67" s="15"/>
    </row>
    <row r="68" spans="1:7" x14ac:dyDescent="0.35">
      <c r="A68" s="12" t="s">
        <v>1633</v>
      </c>
      <c r="B68" s="30" t="s">
        <v>1634</v>
      </c>
      <c r="C68" s="30" t="s">
        <v>931</v>
      </c>
      <c r="D68" s="13">
        <v>6000</v>
      </c>
      <c r="E68" s="14">
        <v>114.44</v>
      </c>
      <c r="F68" s="15">
        <v>5.0000000000000001E-4</v>
      </c>
      <c r="G68" s="15"/>
    </row>
    <row r="69" spans="1:7" x14ac:dyDescent="0.35">
      <c r="A69" s="16" t="s">
        <v>102</v>
      </c>
      <c r="B69" s="31"/>
      <c r="C69" s="31"/>
      <c r="D69" s="17"/>
      <c r="E69" s="37">
        <v>228530.62</v>
      </c>
      <c r="F69" s="38">
        <v>0.9536</v>
      </c>
      <c r="G69" s="20"/>
    </row>
    <row r="70" spans="1:7" x14ac:dyDescent="0.35">
      <c r="A70" s="16" t="s">
        <v>1206</v>
      </c>
      <c r="B70" s="30"/>
      <c r="C70" s="30"/>
      <c r="D70" s="13"/>
      <c r="E70" s="14"/>
      <c r="F70" s="15"/>
      <c r="G70" s="15"/>
    </row>
    <row r="71" spans="1:7" x14ac:dyDescent="0.35">
      <c r="A71" s="16" t="s">
        <v>102</v>
      </c>
      <c r="B71" s="30"/>
      <c r="C71" s="30"/>
      <c r="D71" s="13"/>
      <c r="E71" s="39" t="s">
        <v>96</v>
      </c>
      <c r="F71" s="40" t="s">
        <v>96</v>
      </c>
      <c r="G71" s="15"/>
    </row>
    <row r="72" spans="1:7" x14ac:dyDescent="0.35">
      <c r="A72" s="21" t="s">
        <v>129</v>
      </c>
      <c r="B72" s="32"/>
      <c r="C72" s="32"/>
      <c r="D72" s="22"/>
      <c r="E72" s="27">
        <v>228530.62</v>
      </c>
      <c r="F72" s="28">
        <v>0.9536</v>
      </c>
      <c r="G72" s="20"/>
    </row>
    <row r="73" spans="1:7" x14ac:dyDescent="0.35">
      <c r="A73" s="12"/>
      <c r="B73" s="30"/>
      <c r="C73" s="30"/>
      <c r="D73" s="13"/>
      <c r="E73" s="14"/>
      <c r="F73" s="15"/>
      <c r="G73" s="15"/>
    </row>
    <row r="74" spans="1:7" x14ac:dyDescent="0.35">
      <c r="A74" s="12"/>
      <c r="B74" s="30"/>
      <c r="C74" s="30"/>
      <c r="D74" s="13"/>
      <c r="E74" s="14"/>
      <c r="F74" s="15"/>
      <c r="G74" s="15"/>
    </row>
    <row r="75" spans="1:7" x14ac:dyDescent="0.35">
      <c r="A75" s="16" t="s">
        <v>130</v>
      </c>
      <c r="B75" s="30"/>
      <c r="C75" s="30"/>
      <c r="D75" s="13"/>
      <c r="E75" s="14"/>
      <c r="F75" s="15"/>
      <c r="G75" s="15"/>
    </row>
    <row r="76" spans="1:7" x14ac:dyDescent="0.35">
      <c r="A76" s="12" t="s">
        <v>131</v>
      </c>
      <c r="B76" s="30"/>
      <c r="C76" s="30"/>
      <c r="D76" s="13"/>
      <c r="E76" s="14">
        <v>11070.15</v>
      </c>
      <c r="F76" s="15">
        <v>4.6199999999999998E-2</v>
      </c>
      <c r="G76" s="119">
        <v>6.1074000000000003E-2</v>
      </c>
    </row>
    <row r="77" spans="1:7" x14ac:dyDescent="0.35">
      <c r="A77" s="16" t="s">
        <v>102</v>
      </c>
      <c r="B77" s="31"/>
      <c r="C77" s="31"/>
      <c r="D77" s="17"/>
      <c r="E77" s="37">
        <v>11070.15</v>
      </c>
      <c r="F77" s="38">
        <v>4.6199999999999998E-2</v>
      </c>
      <c r="G77" s="120"/>
    </row>
    <row r="78" spans="1:7" x14ac:dyDescent="0.35">
      <c r="A78" s="12"/>
      <c r="B78" s="30"/>
      <c r="C78" s="30"/>
      <c r="D78" s="13"/>
      <c r="E78" s="14"/>
      <c r="F78" s="15"/>
      <c r="G78" s="119"/>
    </row>
    <row r="79" spans="1:7" x14ac:dyDescent="0.35">
      <c r="A79" s="21" t="s">
        <v>129</v>
      </c>
      <c r="B79" s="32"/>
      <c r="C79" s="32"/>
      <c r="D79" s="22"/>
      <c r="E79" s="18">
        <v>11070.15</v>
      </c>
      <c r="F79" s="19">
        <v>4.6199999999999998E-2</v>
      </c>
      <c r="G79" s="120"/>
    </row>
    <row r="80" spans="1:7" x14ac:dyDescent="0.35">
      <c r="A80" s="12" t="s">
        <v>132</v>
      </c>
      <c r="B80" s="30"/>
      <c r="C80" s="30"/>
      <c r="D80" s="13"/>
      <c r="E80" s="14">
        <v>1.8523238</v>
      </c>
      <c r="F80" s="15">
        <v>6.9999999999999999E-6</v>
      </c>
      <c r="G80" s="119"/>
    </row>
    <row r="81" spans="1:7" x14ac:dyDescent="0.35">
      <c r="A81" s="12" t="s">
        <v>133</v>
      </c>
      <c r="B81" s="30"/>
      <c r="C81" s="30"/>
      <c r="D81" s="13"/>
      <c r="E81" s="14">
        <v>56.927676200000001</v>
      </c>
      <c r="F81" s="15">
        <v>1.93E-4</v>
      </c>
      <c r="G81" s="119">
        <v>6.1074000000000003E-2</v>
      </c>
    </row>
    <row r="82" spans="1:7" x14ac:dyDescent="0.35">
      <c r="A82" s="25" t="s">
        <v>134</v>
      </c>
      <c r="B82" s="33"/>
      <c r="C82" s="33"/>
      <c r="D82" s="26"/>
      <c r="E82" s="27">
        <v>239659.55</v>
      </c>
      <c r="F82" s="28">
        <v>1</v>
      </c>
      <c r="G82" s="28"/>
    </row>
    <row r="87" spans="1:7" x14ac:dyDescent="0.35">
      <c r="A87" s="1" t="s">
        <v>1981</v>
      </c>
    </row>
    <row r="88" spans="1:7" x14ac:dyDescent="0.35">
      <c r="A88" s="47" t="s">
        <v>1982</v>
      </c>
      <c r="B88" s="34" t="s">
        <v>96</v>
      </c>
    </row>
    <row r="89" spans="1:7" x14ac:dyDescent="0.35">
      <c r="A89" t="s">
        <v>1983</v>
      </c>
    </row>
    <row r="90" spans="1:7" x14ac:dyDescent="0.35">
      <c r="A90" t="s">
        <v>1984</v>
      </c>
      <c r="B90" t="s">
        <v>1985</v>
      </c>
      <c r="C90" t="s">
        <v>1985</v>
      </c>
    </row>
    <row r="91" spans="1:7" x14ac:dyDescent="0.35">
      <c r="B91" s="48">
        <v>44834</v>
      </c>
      <c r="C91" s="48">
        <v>44865</v>
      </c>
    </row>
    <row r="92" spans="1:7" x14ac:dyDescent="0.35">
      <c r="A92" t="s">
        <v>1989</v>
      </c>
      <c r="B92">
        <v>58.707000000000001</v>
      </c>
      <c r="C92">
        <v>60.146000000000001</v>
      </c>
      <c r="E92" s="2"/>
      <c r="G92"/>
    </row>
    <row r="93" spans="1:7" x14ac:dyDescent="0.35">
      <c r="A93" t="s">
        <v>1990</v>
      </c>
      <c r="B93">
        <v>42.807000000000002</v>
      </c>
      <c r="C93">
        <v>43.856000000000002</v>
      </c>
      <c r="E93" s="2"/>
      <c r="G93"/>
    </row>
    <row r="94" spans="1:7" x14ac:dyDescent="0.35">
      <c r="A94" t="s">
        <v>2014</v>
      </c>
      <c r="B94">
        <v>52.305999999999997</v>
      </c>
      <c r="C94">
        <v>53.515000000000001</v>
      </c>
      <c r="E94" s="2"/>
      <c r="G94"/>
    </row>
    <row r="95" spans="1:7" x14ac:dyDescent="0.35">
      <c r="A95" t="s">
        <v>2015</v>
      </c>
      <c r="B95">
        <v>30.155999999999999</v>
      </c>
      <c r="C95">
        <v>30.853999999999999</v>
      </c>
      <c r="E95" s="2"/>
      <c r="G95"/>
    </row>
    <row r="96" spans="1:7" x14ac:dyDescent="0.35">
      <c r="E96" s="2"/>
      <c r="G96"/>
    </row>
    <row r="97" spans="1:4" x14ac:dyDescent="0.35">
      <c r="A97" t="s">
        <v>2000</v>
      </c>
      <c r="B97" s="34" t="s">
        <v>96</v>
      </c>
    </row>
    <row r="98" spans="1:4" x14ac:dyDescent="0.35">
      <c r="A98" t="s">
        <v>2001</v>
      </c>
      <c r="B98" s="34" t="s">
        <v>96</v>
      </c>
    </row>
    <row r="99" spans="1:4" ht="29" x14ac:dyDescent="0.35">
      <c r="A99" s="47" t="s">
        <v>2002</v>
      </c>
      <c r="B99" s="34" t="s">
        <v>96</v>
      </c>
    </row>
    <row r="100" spans="1:4" ht="29" x14ac:dyDescent="0.35">
      <c r="A100" s="47" t="s">
        <v>2003</v>
      </c>
      <c r="B100" s="34" t="s">
        <v>96</v>
      </c>
    </row>
    <row r="101" spans="1:4" x14ac:dyDescent="0.35">
      <c r="A101" t="s">
        <v>2033</v>
      </c>
      <c r="B101" s="49">
        <v>0.38655200000000001</v>
      </c>
    </row>
    <row r="102" spans="1:4" ht="43.5" x14ac:dyDescent="0.35">
      <c r="A102" s="47" t="s">
        <v>2005</v>
      </c>
      <c r="B102" s="34" t="s">
        <v>96</v>
      </c>
    </row>
    <row r="103" spans="1:4" ht="29" x14ac:dyDescent="0.35">
      <c r="A103" s="47" t="s">
        <v>2006</v>
      </c>
      <c r="B103" s="34" t="s">
        <v>96</v>
      </c>
    </row>
    <row r="104" spans="1:4" ht="29" x14ac:dyDescent="0.35">
      <c r="A104" s="47" t="s">
        <v>2009</v>
      </c>
      <c r="B104" s="34" t="s">
        <v>96</v>
      </c>
    </row>
    <row r="105" spans="1:4" ht="29" x14ac:dyDescent="0.35">
      <c r="A105" s="47" t="s">
        <v>2135</v>
      </c>
      <c r="B105" s="34" t="s">
        <v>96</v>
      </c>
    </row>
    <row r="106" spans="1:4" ht="29" x14ac:dyDescent="0.35">
      <c r="A106" s="47" t="s">
        <v>2136</v>
      </c>
      <c r="B106" s="34" t="s">
        <v>96</v>
      </c>
    </row>
    <row r="108" spans="1:4" ht="29" x14ac:dyDescent="0.35">
      <c r="A108" s="346" t="s">
        <v>2154</v>
      </c>
      <c r="B108" s="347" t="s">
        <v>2155</v>
      </c>
      <c r="C108" s="347" t="s">
        <v>2156</v>
      </c>
      <c r="D108" s="351" t="s">
        <v>2157</v>
      </c>
    </row>
    <row r="109" spans="1:4" ht="70" customHeight="1" x14ac:dyDescent="0.35">
      <c r="A109" s="350" t="s">
        <v>2212</v>
      </c>
      <c r="B109" s="348"/>
      <c r="C109" s="349" t="s">
        <v>2239</v>
      </c>
      <c r="D109" s="34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BE4-9DD2-412E-B473-4BE4D33B84B7}">
  <dimension ref="A1:H51"/>
  <sheetViews>
    <sheetView showGridLines="0" workbookViewId="0">
      <pane ySplit="4" topLeftCell="A48" activePane="bottomLeft" state="frozen"/>
      <selection activeCell="A2" sqref="A2:XFD2"/>
      <selection pane="bottomLeft" activeCell="C51" sqref="C51"/>
    </sheetView>
  </sheetViews>
  <sheetFormatPr defaultRowHeight="14.5" x14ac:dyDescent="0.35"/>
  <cols>
    <col min="1" max="1" width="50.453125" customWidth="1"/>
    <col min="2" max="2" width="21.81640625" customWidth="1"/>
    <col min="3" max="3" width="26.6328125" customWidth="1"/>
    <col min="4" max="4" width="21.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77</v>
      </c>
      <c r="B1" s="151"/>
      <c r="C1" s="151"/>
      <c r="D1" s="151"/>
      <c r="E1" s="151"/>
      <c r="F1" s="151"/>
      <c r="G1" s="151"/>
      <c r="H1" s="50" t="str">
        <f>HYPERLINK("[EDEL_Portfolio Monthly Notes 31-Oct-2022.xlsx]Index!A1","Index")</f>
        <v>Index</v>
      </c>
    </row>
    <row r="2" spans="1:8" ht="31" customHeight="1" x14ac:dyDescent="0.35">
      <c r="A2" s="151" t="s">
        <v>78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2"/>
      <c r="B9" s="30"/>
      <c r="C9" s="30"/>
      <c r="D9" s="13"/>
      <c r="E9" s="14"/>
      <c r="F9" s="15"/>
      <c r="G9" s="15"/>
    </row>
    <row r="10" spans="1:8" x14ac:dyDescent="0.35">
      <c r="A10" s="16" t="s">
        <v>605</v>
      </c>
      <c r="B10" s="30"/>
      <c r="C10" s="30"/>
      <c r="D10" s="13"/>
      <c r="E10" s="14"/>
      <c r="F10" s="15"/>
      <c r="G10" s="15"/>
    </row>
    <row r="11" spans="1:8" x14ac:dyDescent="0.35">
      <c r="A11" s="12" t="s">
        <v>1888</v>
      </c>
      <c r="B11" s="30" t="s">
        <v>1889</v>
      </c>
      <c r="C11" s="30"/>
      <c r="D11" s="13">
        <v>2145410</v>
      </c>
      <c r="E11" s="14">
        <v>1264.5</v>
      </c>
      <c r="F11" s="15">
        <v>0.49919999999999998</v>
      </c>
      <c r="G11" s="15"/>
    </row>
    <row r="12" spans="1:8" x14ac:dyDescent="0.35">
      <c r="A12" s="12" t="s">
        <v>1890</v>
      </c>
      <c r="B12" s="30" t="s">
        <v>1891</v>
      </c>
      <c r="C12" s="30"/>
      <c r="D12" s="13">
        <v>2828299</v>
      </c>
      <c r="E12" s="14">
        <v>1257.46</v>
      </c>
      <c r="F12" s="15">
        <v>0.49640000000000001</v>
      </c>
      <c r="G12" s="15"/>
    </row>
    <row r="13" spans="1:8" x14ac:dyDescent="0.35">
      <c r="A13" s="16" t="s">
        <v>102</v>
      </c>
      <c r="B13" s="31"/>
      <c r="C13" s="31"/>
      <c r="D13" s="17"/>
      <c r="E13" s="18">
        <v>2521.96</v>
      </c>
      <c r="F13" s="19">
        <v>0.99560000000000004</v>
      </c>
      <c r="G13" s="20"/>
    </row>
    <row r="14" spans="1:8" x14ac:dyDescent="0.35">
      <c r="A14" s="12"/>
      <c r="B14" s="30"/>
      <c r="C14" s="30"/>
      <c r="D14" s="13"/>
      <c r="E14" s="14"/>
      <c r="F14" s="15"/>
      <c r="G14" s="15"/>
    </row>
    <row r="15" spans="1:8" x14ac:dyDescent="0.35">
      <c r="A15" s="21" t="s">
        <v>129</v>
      </c>
      <c r="B15" s="32"/>
      <c r="C15" s="32"/>
      <c r="D15" s="22"/>
      <c r="E15" s="18">
        <v>2521.96</v>
      </c>
      <c r="F15" s="19">
        <v>0.99560000000000004</v>
      </c>
      <c r="G15" s="20"/>
    </row>
    <row r="16" spans="1:8" x14ac:dyDescent="0.35">
      <c r="A16" s="12"/>
      <c r="B16" s="30"/>
      <c r="C16" s="30"/>
      <c r="D16" s="13"/>
      <c r="E16" s="14"/>
      <c r="F16" s="15"/>
      <c r="G16" s="15"/>
    </row>
    <row r="17" spans="1:7" x14ac:dyDescent="0.35">
      <c r="A17" s="16" t="s">
        <v>130</v>
      </c>
      <c r="B17" s="30"/>
      <c r="C17" s="30"/>
      <c r="D17" s="13"/>
      <c r="E17" s="14"/>
      <c r="F17" s="15"/>
      <c r="G17" s="15"/>
    </row>
    <row r="18" spans="1:7" x14ac:dyDescent="0.35">
      <c r="A18" s="12" t="s">
        <v>131</v>
      </c>
      <c r="B18" s="30"/>
      <c r="C18" s="30"/>
      <c r="D18" s="13"/>
      <c r="E18" s="14">
        <v>20</v>
      </c>
      <c r="F18" s="15">
        <v>7.9000000000000008E-3</v>
      </c>
      <c r="G18" s="121">
        <v>6.1074000000000003E-2</v>
      </c>
    </row>
    <row r="19" spans="1:7" x14ac:dyDescent="0.35">
      <c r="A19" s="16" t="s">
        <v>102</v>
      </c>
      <c r="B19" s="31"/>
      <c r="C19" s="31"/>
      <c r="D19" s="17"/>
      <c r="E19" s="18">
        <v>20</v>
      </c>
      <c r="F19" s="19">
        <v>7.9000000000000008E-3</v>
      </c>
      <c r="G19" s="122"/>
    </row>
    <row r="20" spans="1:7" x14ac:dyDescent="0.35">
      <c r="A20" s="12"/>
      <c r="B20" s="30"/>
      <c r="C20" s="30"/>
      <c r="D20" s="13"/>
      <c r="E20" s="14"/>
      <c r="F20" s="15"/>
      <c r="G20" s="121"/>
    </row>
    <row r="21" spans="1:7" x14ac:dyDescent="0.35">
      <c r="A21" s="21" t="s">
        <v>129</v>
      </c>
      <c r="B21" s="32"/>
      <c r="C21" s="32"/>
      <c r="D21" s="22"/>
      <c r="E21" s="18">
        <v>20</v>
      </c>
      <c r="F21" s="19">
        <v>7.9000000000000008E-3</v>
      </c>
      <c r="G21" s="122"/>
    </row>
    <row r="22" spans="1:7" x14ac:dyDescent="0.35">
      <c r="A22" s="12" t="s">
        <v>132</v>
      </c>
      <c r="B22" s="30"/>
      <c r="C22" s="30"/>
      <c r="D22" s="13"/>
      <c r="E22" s="14">
        <v>3.346E-3</v>
      </c>
      <c r="F22" s="15">
        <v>9.9999999999999995E-7</v>
      </c>
      <c r="G22" s="121"/>
    </row>
    <row r="23" spans="1:7" x14ac:dyDescent="0.35">
      <c r="A23" s="12" t="s">
        <v>133</v>
      </c>
      <c r="B23" s="30"/>
      <c r="C23" s="30"/>
      <c r="D23" s="13"/>
      <c r="E23" s="23">
        <v>-8.8433460000000004</v>
      </c>
      <c r="F23" s="24">
        <v>-3.5010000000000002E-3</v>
      </c>
      <c r="G23" s="121">
        <v>6.1074000000000003E-2</v>
      </c>
    </row>
    <row r="24" spans="1:7" x14ac:dyDescent="0.35">
      <c r="A24" s="25" t="s">
        <v>134</v>
      </c>
      <c r="B24" s="33"/>
      <c r="C24" s="33"/>
      <c r="D24" s="26"/>
      <c r="E24" s="27">
        <v>2533.12</v>
      </c>
      <c r="F24" s="28">
        <v>1</v>
      </c>
      <c r="G24" s="28"/>
    </row>
    <row r="29" spans="1:7" x14ac:dyDescent="0.35">
      <c r="A29" s="1" t="s">
        <v>1981</v>
      </c>
    </row>
    <row r="30" spans="1:7" x14ac:dyDescent="0.35">
      <c r="A30" s="47" t="s">
        <v>1982</v>
      </c>
      <c r="B30" s="34" t="s">
        <v>96</v>
      </c>
    </row>
    <row r="31" spans="1:7" x14ac:dyDescent="0.35">
      <c r="A31" t="s">
        <v>1983</v>
      </c>
    </row>
    <row r="32" spans="1:7" x14ac:dyDescent="0.35">
      <c r="A32" t="s">
        <v>1984</v>
      </c>
      <c r="B32" t="s">
        <v>1985</v>
      </c>
      <c r="C32" t="s">
        <v>1985</v>
      </c>
    </row>
    <row r="33" spans="1:7" x14ac:dyDescent="0.35">
      <c r="B33" s="48">
        <v>44834</v>
      </c>
      <c r="C33" s="48">
        <v>44865</v>
      </c>
    </row>
    <row r="34" spans="1:7" x14ac:dyDescent="0.35">
      <c r="A34" t="s">
        <v>1989</v>
      </c>
      <c r="B34">
        <v>9.9559999999999995</v>
      </c>
      <c r="C34">
        <v>10.048999999999999</v>
      </c>
      <c r="E34" s="2"/>
      <c r="G34"/>
    </row>
    <row r="35" spans="1:7" x14ac:dyDescent="0.35">
      <c r="A35" t="s">
        <v>1990</v>
      </c>
      <c r="B35">
        <v>9.9550000000000001</v>
      </c>
      <c r="C35">
        <v>10.048999999999999</v>
      </c>
      <c r="E35" s="2"/>
      <c r="G35"/>
    </row>
    <row r="36" spans="1:7" x14ac:dyDescent="0.35">
      <c r="A36" t="s">
        <v>2014</v>
      </c>
      <c r="B36">
        <v>9.9540000000000006</v>
      </c>
      <c r="C36">
        <v>10.044</v>
      </c>
      <c r="E36" s="2"/>
      <c r="G36"/>
    </row>
    <row r="37" spans="1:7" x14ac:dyDescent="0.35">
      <c r="A37" t="s">
        <v>2015</v>
      </c>
      <c r="B37">
        <v>9.9540000000000006</v>
      </c>
      <c r="C37">
        <v>10.044</v>
      </c>
      <c r="E37" s="2"/>
      <c r="G37"/>
    </row>
    <row r="38" spans="1:7" x14ac:dyDescent="0.35">
      <c r="E38" s="2"/>
      <c r="G38"/>
    </row>
    <row r="39" spans="1:7" x14ac:dyDescent="0.35">
      <c r="A39" t="s">
        <v>2000</v>
      </c>
      <c r="B39" s="34" t="s">
        <v>96</v>
      </c>
    </row>
    <row r="40" spans="1:7" x14ac:dyDescent="0.35">
      <c r="A40" t="s">
        <v>2001</v>
      </c>
      <c r="B40" s="34" t="s">
        <v>96</v>
      </c>
    </row>
    <row r="41" spans="1:7" ht="29" x14ac:dyDescent="0.35">
      <c r="A41" s="47" t="s">
        <v>2002</v>
      </c>
      <c r="B41" s="34" t="s">
        <v>96</v>
      </c>
    </row>
    <row r="42" spans="1:7" ht="29" x14ac:dyDescent="0.35">
      <c r="A42" s="47" t="s">
        <v>2003</v>
      </c>
      <c r="B42" s="34" t="s">
        <v>96</v>
      </c>
    </row>
    <row r="43" spans="1:7" x14ac:dyDescent="0.35">
      <c r="A43" t="s">
        <v>2004</v>
      </c>
      <c r="B43" s="34" t="s">
        <v>96</v>
      </c>
    </row>
    <row r="44" spans="1:7" ht="43.5" x14ac:dyDescent="0.35">
      <c r="A44" s="47" t="s">
        <v>2005</v>
      </c>
      <c r="B44" s="34" t="s">
        <v>96</v>
      </c>
    </row>
    <row r="45" spans="1:7" ht="29" x14ac:dyDescent="0.35">
      <c r="A45" s="47" t="s">
        <v>2006</v>
      </c>
      <c r="B45" s="34" t="s">
        <v>96</v>
      </c>
    </row>
    <row r="46" spans="1:7" ht="29" x14ac:dyDescent="0.35">
      <c r="A46" s="47" t="s">
        <v>2009</v>
      </c>
      <c r="B46" s="34" t="s">
        <v>96</v>
      </c>
    </row>
    <row r="47" spans="1:7" ht="29" x14ac:dyDescent="0.35">
      <c r="A47" s="47" t="s">
        <v>2135</v>
      </c>
      <c r="B47" s="34" t="s">
        <v>96</v>
      </c>
    </row>
    <row r="48" spans="1:7" ht="29" x14ac:dyDescent="0.35">
      <c r="A48" s="47" t="s">
        <v>2136</v>
      </c>
      <c r="B48" s="34" t="s">
        <v>96</v>
      </c>
    </row>
    <row r="50" spans="1:4" ht="29" x14ac:dyDescent="0.35">
      <c r="A50" s="352" t="s">
        <v>2154</v>
      </c>
      <c r="B50" s="353" t="s">
        <v>2155</v>
      </c>
      <c r="C50" s="353" t="s">
        <v>2156</v>
      </c>
      <c r="D50" s="357" t="s">
        <v>2157</v>
      </c>
    </row>
    <row r="51" spans="1:4" ht="71" customHeight="1" x14ac:dyDescent="0.35">
      <c r="A51" s="356" t="s">
        <v>2213</v>
      </c>
      <c r="B51" s="355"/>
      <c r="C51" s="354" t="s">
        <v>2214</v>
      </c>
      <c r="D51" s="355"/>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021E-1437-4F05-857B-EF6DBD075E15}">
  <dimension ref="A1:H117"/>
  <sheetViews>
    <sheetView showGridLines="0" workbookViewId="0">
      <pane ySplit="4" topLeftCell="A114" activePane="bottomLeft" state="frozen"/>
      <selection activeCell="A2" sqref="A2:XFD2"/>
      <selection pane="bottomLeft" activeCell="F117" sqref="F117"/>
    </sheetView>
  </sheetViews>
  <sheetFormatPr defaultRowHeight="14.5" x14ac:dyDescent="0.35"/>
  <cols>
    <col min="1" max="1" width="50.453125" customWidth="1"/>
    <col min="2" max="2" width="21.7265625" customWidth="1"/>
    <col min="3" max="3" width="26.6328125" customWidth="1"/>
    <col min="4" max="4" width="21.26953125" customWidth="1"/>
    <col min="5" max="5" width="16.453125" customWidth="1"/>
    <col min="6" max="6" width="21.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79</v>
      </c>
      <c r="B1" s="151"/>
      <c r="C1" s="151"/>
      <c r="D1" s="151"/>
      <c r="E1" s="151"/>
      <c r="F1" s="151"/>
      <c r="G1" s="151"/>
      <c r="H1" s="50" t="str">
        <f>HYPERLINK("[EDEL_Portfolio Monthly Notes 31-Oct-2022.xlsx]Index!A1","Index")</f>
        <v>Index</v>
      </c>
    </row>
    <row r="2" spans="1:8" ht="31" customHeight="1" x14ac:dyDescent="0.35">
      <c r="A2" s="151" t="s">
        <v>80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95</v>
      </c>
      <c r="B7" s="30"/>
      <c r="C7" s="30"/>
      <c r="D7" s="13"/>
      <c r="E7" s="14" t="s">
        <v>96</v>
      </c>
      <c r="F7" s="15" t="s">
        <v>96</v>
      </c>
      <c r="G7" s="15"/>
    </row>
    <row r="8" spans="1:8" x14ac:dyDescent="0.35">
      <c r="A8" s="12"/>
      <c r="B8" s="30"/>
      <c r="C8" s="30"/>
      <c r="D8" s="13"/>
      <c r="E8" s="14"/>
      <c r="F8" s="15"/>
      <c r="G8" s="15"/>
    </row>
    <row r="9" spans="1:8" x14ac:dyDescent="0.35">
      <c r="A9" s="16" t="s">
        <v>97</v>
      </c>
      <c r="B9" s="30"/>
      <c r="C9" s="30"/>
      <c r="D9" s="13"/>
      <c r="E9" s="14"/>
      <c r="F9" s="15"/>
      <c r="G9" s="15"/>
    </row>
    <row r="10" spans="1:8" x14ac:dyDescent="0.35">
      <c r="A10" s="12"/>
      <c r="B10" s="30"/>
      <c r="C10" s="30"/>
      <c r="D10" s="13"/>
      <c r="E10" s="14"/>
      <c r="F10" s="15"/>
      <c r="G10" s="15"/>
    </row>
    <row r="11" spans="1:8" x14ac:dyDescent="0.35">
      <c r="A11" s="16" t="s">
        <v>98</v>
      </c>
      <c r="B11" s="30"/>
      <c r="C11" s="30"/>
      <c r="D11" s="13"/>
      <c r="E11" s="14"/>
      <c r="F11" s="15"/>
      <c r="G11" s="15"/>
    </row>
    <row r="12" spans="1:8" x14ac:dyDescent="0.35">
      <c r="A12" s="12" t="s">
        <v>1376</v>
      </c>
      <c r="B12" s="30" t="s">
        <v>1377</v>
      </c>
      <c r="C12" s="30" t="s">
        <v>101</v>
      </c>
      <c r="D12" s="13">
        <v>10000000</v>
      </c>
      <c r="E12" s="14">
        <v>9926.41</v>
      </c>
      <c r="F12" s="15">
        <v>7.4999999999999997E-2</v>
      </c>
      <c r="G12" s="15">
        <v>6.1498999999999998E-2</v>
      </c>
    </row>
    <row r="13" spans="1:8" x14ac:dyDescent="0.35">
      <c r="A13" s="12" t="s">
        <v>1396</v>
      </c>
      <c r="B13" s="30" t="s">
        <v>1397</v>
      </c>
      <c r="C13" s="30" t="s">
        <v>101</v>
      </c>
      <c r="D13" s="13">
        <v>5000000</v>
      </c>
      <c r="E13" s="14">
        <v>4957.0600000000004</v>
      </c>
      <c r="F13" s="15">
        <v>3.7400000000000003E-2</v>
      </c>
      <c r="G13" s="15">
        <v>6.2003000000000003E-2</v>
      </c>
    </row>
    <row r="14" spans="1:8" x14ac:dyDescent="0.35">
      <c r="A14" s="12" t="s">
        <v>1499</v>
      </c>
      <c r="B14" s="30" t="s">
        <v>1500</v>
      </c>
      <c r="C14" s="30" t="s">
        <v>101</v>
      </c>
      <c r="D14" s="13">
        <v>2500000</v>
      </c>
      <c r="E14" s="14">
        <v>2487.48</v>
      </c>
      <c r="F14" s="15">
        <v>1.8800000000000001E-2</v>
      </c>
      <c r="G14" s="15">
        <v>6.1249999999999999E-2</v>
      </c>
    </row>
    <row r="15" spans="1:8" x14ac:dyDescent="0.35">
      <c r="A15" s="16" t="s">
        <v>102</v>
      </c>
      <c r="B15" s="31"/>
      <c r="C15" s="31"/>
      <c r="D15" s="17"/>
      <c r="E15" s="18">
        <v>17370.95</v>
      </c>
      <c r="F15" s="19">
        <v>0.13120000000000001</v>
      </c>
      <c r="G15" s="20"/>
    </row>
    <row r="16" spans="1:8" x14ac:dyDescent="0.35">
      <c r="A16" s="16" t="s">
        <v>103</v>
      </c>
      <c r="B16" s="30"/>
      <c r="C16" s="30"/>
      <c r="D16" s="13"/>
      <c r="E16" s="14"/>
      <c r="F16" s="15"/>
      <c r="G16" s="15"/>
    </row>
    <row r="17" spans="1:7" x14ac:dyDescent="0.35">
      <c r="A17" s="12" t="s">
        <v>1892</v>
      </c>
      <c r="B17" s="30" t="s">
        <v>1893</v>
      </c>
      <c r="C17" s="30" t="s">
        <v>106</v>
      </c>
      <c r="D17" s="13">
        <v>7500000</v>
      </c>
      <c r="E17" s="14">
        <v>7380.5</v>
      </c>
      <c r="F17" s="15">
        <v>5.5800000000000002E-2</v>
      </c>
      <c r="G17" s="15">
        <v>7.1201E-2</v>
      </c>
    </row>
    <row r="18" spans="1:7" x14ac:dyDescent="0.35">
      <c r="A18" s="12" t="s">
        <v>2129</v>
      </c>
      <c r="B18" s="30" t="s">
        <v>1894</v>
      </c>
      <c r="C18" s="30" t="s">
        <v>124</v>
      </c>
      <c r="D18" s="13">
        <v>5000000</v>
      </c>
      <c r="E18" s="14">
        <v>4992.37</v>
      </c>
      <c r="F18" s="15">
        <v>3.7699999999999997E-2</v>
      </c>
      <c r="G18" s="15">
        <v>6.2023000000000002E-2</v>
      </c>
    </row>
    <row r="19" spans="1:7" x14ac:dyDescent="0.35">
      <c r="A19" s="12" t="s">
        <v>1895</v>
      </c>
      <c r="B19" s="30" t="s">
        <v>1896</v>
      </c>
      <c r="C19" s="30" t="s">
        <v>106</v>
      </c>
      <c r="D19" s="13">
        <v>5000000</v>
      </c>
      <c r="E19" s="14">
        <v>4974.12</v>
      </c>
      <c r="F19" s="15">
        <v>3.7600000000000001E-2</v>
      </c>
      <c r="G19" s="15">
        <v>6.5498000000000001E-2</v>
      </c>
    </row>
    <row r="20" spans="1:7" x14ac:dyDescent="0.35">
      <c r="A20" s="12" t="s">
        <v>1897</v>
      </c>
      <c r="B20" s="30" t="s">
        <v>1898</v>
      </c>
      <c r="C20" s="30" t="s">
        <v>111</v>
      </c>
      <c r="D20" s="13">
        <v>5000000</v>
      </c>
      <c r="E20" s="14">
        <v>4925.46</v>
      </c>
      <c r="F20" s="15">
        <v>3.7199999999999997E-2</v>
      </c>
      <c r="G20" s="15">
        <v>6.9052000000000002E-2</v>
      </c>
    </row>
    <row r="21" spans="1:7" x14ac:dyDescent="0.35">
      <c r="A21" s="12" t="s">
        <v>1899</v>
      </c>
      <c r="B21" s="30" t="s">
        <v>1900</v>
      </c>
      <c r="C21" s="30" t="s">
        <v>106</v>
      </c>
      <c r="D21" s="13">
        <v>2500000</v>
      </c>
      <c r="E21" s="14">
        <v>2496.56</v>
      </c>
      <c r="F21" s="15">
        <v>1.89E-2</v>
      </c>
      <c r="G21" s="15">
        <v>6.2911999999999996E-2</v>
      </c>
    </row>
    <row r="22" spans="1:7" x14ac:dyDescent="0.35">
      <c r="A22" s="12" t="s">
        <v>2128</v>
      </c>
      <c r="B22" s="30" t="s">
        <v>1901</v>
      </c>
      <c r="C22" s="30" t="s">
        <v>106</v>
      </c>
      <c r="D22" s="13">
        <v>2500000</v>
      </c>
      <c r="E22" s="14">
        <v>2489.2800000000002</v>
      </c>
      <c r="F22" s="15">
        <v>1.8800000000000001E-2</v>
      </c>
      <c r="G22" s="15">
        <v>6.5493999999999997E-2</v>
      </c>
    </row>
    <row r="23" spans="1:7" x14ac:dyDescent="0.35">
      <c r="A23" s="12" t="s">
        <v>2131</v>
      </c>
      <c r="B23" s="30" t="s">
        <v>1902</v>
      </c>
      <c r="C23" s="30" t="s">
        <v>106</v>
      </c>
      <c r="D23" s="13">
        <v>2500000</v>
      </c>
      <c r="E23" s="14">
        <v>2471.13</v>
      </c>
      <c r="F23" s="15">
        <v>1.8700000000000001E-2</v>
      </c>
      <c r="G23" s="15">
        <v>6.7698999999999995E-2</v>
      </c>
    </row>
    <row r="24" spans="1:7" x14ac:dyDescent="0.35">
      <c r="A24" s="16" t="s">
        <v>102</v>
      </c>
      <c r="B24" s="31"/>
      <c r="C24" s="31"/>
      <c r="D24" s="17"/>
      <c r="E24" s="18">
        <v>29729.42</v>
      </c>
      <c r="F24" s="19">
        <v>0.22470000000000001</v>
      </c>
      <c r="G24" s="20"/>
    </row>
    <row r="25" spans="1:7" x14ac:dyDescent="0.35">
      <c r="A25" s="12"/>
      <c r="B25" s="30"/>
      <c r="C25" s="30"/>
      <c r="D25" s="13"/>
      <c r="E25" s="14"/>
      <c r="F25" s="15"/>
      <c r="G25" s="15"/>
    </row>
    <row r="26" spans="1:7" x14ac:dyDescent="0.35">
      <c r="A26" s="16" t="s">
        <v>125</v>
      </c>
      <c r="B26" s="30"/>
      <c r="C26" s="30"/>
      <c r="D26" s="13"/>
      <c r="E26" s="14"/>
      <c r="F26" s="15"/>
      <c r="G26" s="15"/>
    </row>
    <row r="27" spans="1:7" x14ac:dyDescent="0.35">
      <c r="A27" s="12" t="s">
        <v>2111</v>
      </c>
      <c r="B27" s="30" t="s">
        <v>1903</v>
      </c>
      <c r="C27" s="30" t="s">
        <v>106</v>
      </c>
      <c r="D27" s="13">
        <v>7500000</v>
      </c>
      <c r="E27" s="14">
        <v>7453.31</v>
      </c>
      <c r="F27" s="15">
        <v>5.6300000000000003E-2</v>
      </c>
      <c r="G27" s="15">
        <v>6.7246E-2</v>
      </c>
    </row>
    <row r="28" spans="1:7" x14ac:dyDescent="0.35">
      <c r="A28" s="12" t="s">
        <v>2112</v>
      </c>
      <c r="B28" s="30" t="s">
        <v>1904</v>
      </c>
      <c r="C28" s="30" t="s">
        <v>106</v>
      </c>
      <c r="D28" s="13">
        <v>5000000</v>
      </c>
      <c r="E28" s="14">
        <v>4981.88</v>
      </c>
      <c r="F28" s="15">
        <v>3.7600000000000001E-2</v>
      </c>
      <c r="G28" s="15">
        <v>6.6396999999999998E-2</v>
      </c>
    </row>
    <row r="29" spans="1:7" x14ac:dyDescent="0.35">
      <c r="A29" s="12" t="s">
        <v>2113</v>
      </c>
      <c r="B29" s="30" t="s">
        <v>1905</v>
      </c>
      <c r="C29" s="30" t="s">
        <v>106</v>
      </c>
      <c r="D29" s="13">
        <v>5000000</v>
      </c>
      <c r="E29" s="14">
        <v>4978.3</v>
      </c>
      <c r="F29" s="15">
        <v>3.7600000000000001E-2</v>
      </c>
      <c r="G29" s="15">
        <v>6.6299999999999998E-2</v>
      </c>
    </row>
    <row r="30" spans="1:7" x14ac:dyDescent="0.35">
      <c r="A30" s="12" t="s">
        <v>2114</v>
      </c>
      <c r="B30" s="30" t="s">
        <v>1906</v>
      </c>
      <c r="C30" s="30" t="s">
        <v>106</v>
      </c>
      <c r="D30" s="13">
        <v>5000000</v>
      </c>
      <c r="E30" s="14">
        <v>4975.88</v>
      </c>
      <c r="F30" s="15">
        <v>3.7600000000000001E-2</v>
      </c>
      <c r="G30" s="15">
        <v>6.5549999999999997E-2</v>
      </c>
    </row>
    <row r="31" spans="1:7" x14ac:dyDescent="0.35">
      <c r="A31" s="12" t="s">
        <v>2115</v>
      </c>
      <c r="B31" s="30" t="s">
        <v>1907</v>
      </c>
      <c r="C31" s="30" t="s">
        <v>106</v>
      </c>
      <c r="D31" s="13">
        <v>5000000</v>
      </c>
      <c r="E31" s="14">
        <v>4974.1000000000004</v>
      </c>
      <c r="F31" s="15">
        <v>3.7600000000000001E-2</v>
      </c>
      <c r="G31" s="15">
        <v>6.5548999999999996E-2</v>
      </c>
    </row>
    <row r="32" spans="1:7" x14ac:dyDescent="0.35">
      <c r="A32" s="12" t="s">
        <v>2116</v>
      </c>
      <c r="B32" s="30" t="s">
        <v>1908</v>
      </c>
      <c r="C32" s="30" t="s">
        <v>106</v>
      </c>
      <c r="D32" s="13">
        <v>5000000</v>
      </c>
      <c r="E32" s="14">
        <v>4960.82</v>
      </c>
      <c r="F32" s="15">
        <v>3.7499999999999999E-2</v>
      </c>
      <c r="G32" s="15">
        <v>7.0323999999999998E-2</v>
      </c>
    </row>
    <row r="33" spans="1:7" x14ac:dyDescent="0.35">
      <c r="A33" s="12" t="s">
        <v>2117</v>
      </c>
      <c r="B33" s="30" t="s">
        <v>1909</v>
      </c>
      <c r="C33" s="30" t="s">
        <v>106</v>
      </c>
      <c r="D33" s="13">
        <v>5000000</v>
      </c>
      <c r="E33" s="14">
        <v>4960.54</v>
      </c>
      <c r="F33" s="15">
        <v>3.7499999999999999E-2</v>
      </c>
      <c r="G33" s="15">
        <v>6.5997E-2</v>
      </c>
    </row>
    <row r="34" spans="1:7" x14ac:dyDescent="0.35">
      <c r="A34" s="12" t="s">
        <v>2118</v>
      </c>
      <c r="B34" s="30" t="s">
        <v>1910</v>
      </c>
      <c r="C34" s="30" t="s">
        <v>106</v>
      </c>
      <c r="D34" s="13">
        <v>5000000</v>
      </c>
      <c r="E34" s="14">
        <v>4960</v>
      </c>
      <c r="F34" s="15">
        <v>3.7499999999999999E-2</v>
      </c>
      <c r="G34" s="15">
        <v>6.6899E-2</v>
      </c>
    </row>
    <row r="35" spans="1:7" x14ac:dyDescent="0.35">
      <c r="A35" s="12" t="s">
        <v>2119</v>
      </c>
      <c r="B35" s="30" t="s">
        <v>1911</v>
      </c>
      <c r="C35" s="30" t="s">
        <v>106</v>
      </c>
      <c r="D35" s="13">
        <v>5000000</v>
      </c>
      <c r="E35" s="14">
        <v>4959.8500000000004</v>
      </c>
      <c r="F35" s="15">
        <v>3.7499999999999999E-2</v>
      </c>
      <c r="G35" s="15">
        <v>6.7152000000000003E-2</v>
      </c>
    </row>
    <row r="36" spans="1:7" x14ac:dyDescent="0.35">
      <c r="A36" s="12" t="s">
        <v>2120</v>
      </c>
      <c r="B36" s="30" t="s">
        <v>1912</v>
      </c>
      <c r="C36" s="30" t="s">
        <v>106</v>
      </c>
      <c r="D36" s="13">
        <v>2500000</v>
      </c>
      <c r="E36" s="14">
        <v>2496.33</v>
      </c>
      <c r="F36" s="15">
        <v>1.89E-2</v>
      </c>
      <c r="G36" s="15">
        <v>6.7167000000000004E-2</v>
      </c>
    </row>
    <row r="37" spans="1:7" x14ac:dyDescent="0.35">
      <c r="A37" s="12" t="s">
        <v>2121</v>
      </c>
      <c r="B37" s="30" t="s">
        <v>1913</v>
      </c>
      <c r="C37" s="30" t="s">
        <v>106</v>
      </c>
      <c r="D37" s="13">
        <v>2500000</v>
      </c>
      <c r="E37" s="14">
        <v>2495.5</v>
      </c>
      <c r="F37" s="15">
        <v>1.89E-2</v>
      </c>
      <c r="G37" s="15">
        <v>6.5892000000000006E-2</v>
      </c>
    </row>
    <row r="38" spans="1:7" x14ac:dyDescent="0.35">
      <c r="A38" s="12" t="s">
        <v>2122</v>
      </c>
      <c r="B38" s="30" t="s">
        <v>1914</v>
      </c>
      <c r="C38" s="30" t="s">
        <v>106</v>
      </c>
      <c r="D38" s="13">
        <v>2500000</v>
      </c>
      <c r="E38" s="14">
        <v>2484.7800000000002</v>
      </c>
      <c r="F38" s="15">
        <v>1.8800000000000001E-2</v>
      </c>
      <c r="G38" s="15">
        <v>6.5745999999999999E-2</v>
      </c>
    </row>
    <row r="39" spans="1:7" x14ac:dyDescent="0.35">
      <c r="A39" s="12" t="s">
        <v>2123</v>
      </c>
      <c r="B39" s="30" t="s">
        <v>1915</v>
      </c>
      <c r="C39" s="30" t="s">
        <v>106</v>
      </c>
      <c r="D39" s="13">
        <v>2500000</v>
      </c>
      <c r="E39" s="14">
        <v>2473.39</v>
      </c>
      <c r="F39" s="15">
        <v>1.8700000000000001E-2</v>
      </c>
      <c r="G39" s="15">
        <v>6.6550999999999999E-2</v>
      </c>
    </row>
    <row r="40" spans="1:7" x14ac:dyDescent="0.35">
      <c r="A40" s="12" t="s">
        <v>2124</v>
      </c>
      <c r="B40" s="30" t="s">
        <v>1916</v>
      </c>
      <c r="C40" s="30" t="s">
        <v>106</v>
      </c>
      <c r="D40" s="13">
        <v>2500000</v>
      </c>
      <c r="E40" s="14">
        <v>2470.31</v>
      </c>
      <c r="F40" s="15">
        <v>1.8700000000000001E-2</v>
      </c>
      <c r="G40" s="15">
        <v>7.0749000000000006E-2</v>
      </c>
    </row>
    <row r="41" spans="1:7" x14ac:dyDescent="0.35">
      <c r="A41" s="12" t="s">
        <v>2125</v>
      </c>
      <c r="B41" s="30" t="s">
        <v>1917</v>
      </c>
      <c r="C41" s="30" t="s">
        <v>106</v>
      </c>
      <c r="D41" s="13">
        <v>2500000</v>
      </c>
      <c r="E41" s="14">
        <v>2469.6799999999998</v>
      </c>
      <c r="F41" s="15">
        <v>1.8700000000000001E-2</v>
      </c>
      <c r="G41" s="15">
        <v>6.7901000000000003E-2</v>
      </c>
    </row>
    <row r="42" spans="1:7" x14ac:dyDescent="0.35">
      <c r="A42" s="12" t="s">
        <v>2126</v>
      </c>
      <c r="B42" s="30" t="s">
        <v>1918</v>
      </c>
      <c r="C42" s="30" t="s">
        <v>106</v>
      </c>
      <c r="D42" s="13">
        <v>2500000</v>
      </c>
      <c r="E42" s="14">
        <v>2464.77</v>
      </c>
      <c r="F42" s="15">
        <v>1.8599999999999998E-2</v>
      </c>
      <c r="G42" s="15">
        <v>7.1474999999999997E-2</v>
      </c>
    </row>
    <row r="43" spans="1:7" x14ac:dyDescent="0.35">
      <c r="A43" s="12" t="s">
        <v>2127</v>
      </c>
      <c r="B43" s="30" t="s">
        <v>1919</v>
      </c>
      <c r="C43" s="30" t="s">
        <v>111</v>
      </c>
      <c r="D43" s="13">
        <v>2500000</v>
      </c>
      <c r="E43" s="14">
        <v>2457.94</v>
      </c>
      <c r="F43" s="15">
        <v>1.8599999999999998E-2</v>
      </c>
      <c r="G43" s="15"/>
    </row>
    <row r="44" spans="1:7" x14ac:dyDescent="0.35">
      <c r="A44" s="16" t="s">
        <v>102</v>
      </c>
      <c r="B44" s="31"/>
      <c r="C44" s="31"/>
      <c r="D44" s="17"/>
      <c r="E44" s="18">
        <v>67017.38</v>
      </c>
      <c r="F44" s="19">
        <v>0.50660000000000005</v>
      </c>
      <c r="G44" s="20"/>
    </row>
    <row r="45" spans="1:7" x14ac:dyDescent="0.35">
      <c r="A45" s="12"/>
      <c r="B45" s="30"/>
      <c r="C45" s="30"/>
      <c r="D45" s="13"/>
      <c r="E45" s="14"/>
      <c r="F45" s="15"/>
      <c r="G45" s="15"/>
    </row>
    <row r="46" spans="1:7" x14ac:dyDescent="0.35">
      <c r="A46" s="21" t="s">
        <v>129</v>
      </c>
      <c r="B46" s="32"/>
      <c r="C46" s="32"/>
      <c r="D46" s="22"/>
      <c r="E46" s="18">
        <v>114117.75</v>
      </c>
      <c r="F46" s="19">
        <v>0.86250000000000004</v>
      </c>
      <c r="G46" s="20"/>
    </row>
    <row r="47" spans="1:7" x14ac:dyDescent="0.35">
      <c r="A47" s="12"/>
      <c r="B47" s="30"/>
      <c r="C47" s="30"/>
      <c r="D47" s="13"/>
      <c r="E47" s="14"/>
      <c r="F47" s="15"/>
      <c r="G47" s="15"/>
    </row>
    <row r="48" spans="1:7" x14ac:dyDescent="0.35">
      <c r="A48" s="12"/>
      <c r="B48" s="30"/>
      <c r="C48" s="30"/>
      <c r="D48" s="13"/>
      <c r="E48" s="14"/>
      <c r="F48" s="15"/>
      <c r="G48" s="15"/>
    </row>
    <row r="49" spans="1:7" x14ac:dyDescent="0.35">
      <c r="A49" s="16" t="s">
        <v>130</v>
      </c>
      <c r="B49" s="30"/>
      <c r="C49" s="30"/>
      <c r="D49" s="13"/>
      <c r="E49" s="14"/>
      <c r="F49" s="15"/>
      <c r="G49" s="15"/>
    </row>
    <row r="50" spans="1:7" x14ac:dyDescent="0.35">
      <c r="A50" s="12" t="s">
        <v>131</v>
      </c>
      <c r="B50" s="30"/>
      <c r="C50" s="30"/>
      <c r="D50" s="13"/>
      <c r="E50" s="14">
        <v>20662.54</v>
      </c>
      <c r="F50" s="15">
        <v>0.15609999999999999</v>
      </c>
      <c r="G50" s="123">
        <v>6.1074000000000003E-2</v>
      </c>
    </row>
    <row r="51" spans="1:7" x14ac:dyDescent="0.35">
      <c r="A51" s="16" t="s">
        <v>102</v>
      </c>
      <c r="B51" s="31"/>
      <c r="C51" s="31"/>
      <c r="D51" s="17"/>
      <c r="E51" s="18">
        <v>20662.54</v>
      </c>
      <c r="F51" s="19">
        <v>0.15609999999999999</v>
      </c>
      <c r="G51" s="124"/>
    </row>
    <row r="52" spans="1:7" x14ac:dyDescent="0.35">
      <c r="A52" s="12"/>
      <c r="B52" s="30"/>
      <c r="C52" s="30"/>
      <c r="D52" s="13"/>
      <c r="E52" s="14"/>
      <c r="F52" s="15"/>
      <c r="G52" s="123"/>
    </row>
    <row r="53" spans="1:7" x14ac:dyDescent="0.35">
      <c r="A53" s="21" t="s">
        <v>129</v>
      </c>
      <c r="B53" s="32"/>
      <c r="C53" s="32"/>
      <c r="D53" s="22"/>
      <c r="E53" s="18">
        <v>20662.54</v>
      </c>
      <c r="F53" s="19">
        <v>0.15609999999999999</v>
      </c>
      <c r="G53" s="124"/>
    </row>
    <row r="54" spans="1:7" x14ac:dyDescent="0.35">
      <c r="A54" s="12" t="s">
        <v>132</v>
      </c>
      <c r="B54" s="30"/>
      <c r="C54" s="30"/>
      <c r="D54" s="13"/>
      <c r="E54" s="14">
        <v>3.4573811999999999</v>
      </c>
      <c r="F54" s="15">
        <v>2.5999999999999998E-5</v>
      </c>
      <c r="G54" s="123"/>
    </row>
    <row r="55" spans="1:7" x14ac:dyDescent="0.35">
      <c r="A55" s="12" t="s">
        <v>133</v>
      </c>
      <c r="B55" s="30"/>
      <c r="C55" s="30"/>
      <c r="D55" s="13"/>
      <c r="E55" s="23">
        <v>-2400.8473812000002</v>
      </c>
      <c r="F55" s="24">
        <v>-1.8626E-2</v>
      </c>
      <c r="G55" s="123">
        <v>6.1074000000000003E-2</v>
      </c>
    </row>
    <row r="56" spans="1:7" x14ac:dyDescent="0.35">
      <c r="A56" s="25" t="s">
        <v>134</v>
      </c>
      <c r="B56" s="33"/>
      <c r="C56" s="33"/>
      <c r="D56" s="26"/>
      <c r="E56" s="27">
        <v>132382.9</v>
      </c>
      <c r="F56" s="28">
        <v>1</v>
      </c>
      <c r="G56" s="28"/>
    </row>
    <row r="58" spans="1:7" x14ac:dyDescent="0.35">
      <c r="A58" s="1" t="s">
        <v>135</v>
      </c>
    </row>
    <row r="59" spans="1:7" x14ac:dyDescent="0.35">
      <c r="A59" s="1" t="s">
        <v>136</v>
      </c>
    </row>
    <row r="61" spans="1:7" x14ac:dyDescent="0.35">
      <c r="A61" s="1" t="s">
        <v>1981</v>
      </c>
    </row>
    <row r="62" spans="1:7" x14ac:dyDescent="0.35">
      <c r="A62" s="47" t="s">
        <v>1982</v>
      </c>
      <c r="B62" s="34" t="s">
        <v>96</v>
      </c>
    </row>
    <row r="63" spans="1:7" x14ac:dyDescent="0.35">
      <c r="A63" t="s">
        <v>1983</v>
      </c>
    </row>
    <row r="64" spans="1:7" x14ac:dyDescent="0.35">
      <c r="A64" t="s">
        <v>2007</v>
      </c>
      <c r="B64" t="s">
        <v>1985</v>
      </c>
      <c r="C64" t="s">
        <v>1985</v>
      </c>
    </row>
    <row r="65" spans="1:7" x14ac:dyDescent="0.35">
      <c r="B65" s="48">
        <v>44834</v>
      </c>
      <c r="C65" s="48">
        <v>44865</v>
      </c>
    </row>
    <row r="66" spans="1:7" x14ac:dyDescent="0.35">
      <c r="A66" t="s">
        <v>1986</v>
      </c>
      <c r="B66">
        <v>2810.9571000000001</v>
      </c>
      <c r="C66">
        <v>2825.3245000000002</v>
      </c>
      <c r="E66" s="2"/>
      <c r="G66"/>
    </row>
    <row r="67" spans="1:7" x14ac:dyDescent="0.35">
      <c r="A67" t="s">
        <v>1987</v>
      </c>
      <c r="B67">
        <v>1635.3744999999999</v>
      </c>
      <c r="C67">
        <v>1643.7331999999999</v>
      </c>
      <c r="E67" s="2"/>
      <c r="G67"/>
    </row>
    <row r="68" spans="1:7" x14ac:dyDescent="0.35">
      <c r="A68" t="s">
        <v>2026</v>
      </c>
      <c r="B68">
        <v>1016.7534000000001</v>
      </c>
      <c r="C68">
        <v>1021.9502</v>
      </c>
      <c r="E68" s="2"/>
      <c r="G68"/>
    </row>
    <row r="69" spans="1:7" x14ac:dyDescent="0.35">
      <c r="A69" t="s">
        <v>2010</v>
      </c>
      <c r="B69">
        <v>2221.6271999999999</v>
      </c>
      <c r="C69">
        <v>2232.9821999999999</v>
      </c>
      <c r="E69" s="2"/>
      <c r="G69"/>
    </row>
    <row r="70" spans="1:7" x14ac:dyDescent="0.35">
      <c r="A70" t="s">
        <v>1989</v>
      </c>
      <c r="B70">
        <v>2810.9659000000001</v>
      </c>
      <c r="C70">
        <v>2825.3332</v>
      </c>
      <c r="E70" s="2"/>
      <c r="G70"/>
    </row>
    <row r="71" spans="1:7" x14ac:dyDescent="0.35">
      <c r="A71" t="s">
        <v>1990</v>
      </c>
      <c r="B71">
        <v>2810.9802</v>
      </c>
      <c r="C71">
        <v>2825.3478</v>
      </c>
      <c r="E71" s="2"/>
      <c r="G71"/>
    </row>
    <row r="72" spans="1:7" x14ac:dyDescent="0.35">
      <c r="A72" t="s">
        <v>2011</v>
      </c>
      <c r="B72">
        <v>1005.0818</v>
      </c>
      <c r="C72">
        <v>1005.3184</v>
      </c>
      <c r="E72" s="2"/>
      <c r="G72"/>
    </row>
    <row r="73" spans="1:7" x14ac:dyDescent="0.35">
      <c r="A73" t="s">
        <v>2012</v>
      </c>
      <c r="B73">
        <v>2174.4832000000001</v>
      </c>
      <c r="C73">
        <v>2175.1084999999998</v>
      </c>
      <c r="E73" s="2"/>
      <c r="G73"/>
    </row>
    <row r="74" spans="1:7" x14ac:dyDescent="0.35">
      <c r="A74" t="s">
        <v>2040</v>
      </c>
      <c r="B74">
        <v>1915.8172</v>
      </c>
      <c r="C74">
        <v>1925.2147</v>
      </c>
      <c r="E74" s="2"/>
      <c r="G74"/>
    </row>
    <row r="75" spans="1:7" x14ac:dyDescent="0.35">
      <c r="A75" t="s">
        <v>1998</v>
      </c>
      <c r="B75">
        <v>1612.7244000000001</v>
      </c>
      <c r="C75">
        <v>1620.6347000000001</v>
      </c>
      <c r="E75" s="2"/>
      <c r="G75"/>
    </row>
    <row r="76" spans="1:7" x14ac:dyDescent="0.35">
      <c r="A76" t="s">
        <v>2041</v>
      </c>
      <c r="B76">
        <v>1025.2304999999999</v>
      </c>
      <c r="C76">
        <v>1030.2607</v>
      </c>
      <c r="E76" s="2"/>
      <c r="G76"/>
    </row>
    <row r="77" spans="1:7" x14ac:dyDescent="0.35">
      <c r="A77" t="s">
        <v>2042</v>
      </c>
      <c r="B77">
        <v>2154.0936000000002</v>
      </c>
      <c r="C77">
        <v>2153.7937999999999</v>
      </c>
      <c r="E77" s="2"/>
      <c r="G77"/>
    </row>
    <row r="78" spans="1:7" x14ac:dyDescent="0.35">
      <c r="A78" t="s">
        <v>2043</v>
      </c>
      <c r="B78">
        <v>2768.866</v>
      </c>
      <c r="C78">
        <v>2782.4508999999998</v>
      </c>
      <c r="E78" s="2"/>
      <c r="G78"/>
    </row>
    <row r="79" spans="1:7" x14ac:dyDescent="0.35">
      <c r="A79" t="s">
        <v>2044</v>
      </c>
      <c r="B79">
        <v>2768.8688999999999</v>
      </c>
      <c r="C79">
        <v>2782.4535000000001</v>
      </c>
      <c r="E79" s="2"/>
      <c r="G79"/>
    </row>
    <row r="80" spans="1:7" x14ac:dyDescent="0.35">
      <c r="A80" t="s">
        <v>2045</v>
      </c>
      <c r="B80">
        <v>1013.193</v>
      </c>
      <c r="C80">
        <v>1018.164</v>
      </c>
      <c r="E80" s="2"/>
      <c r="G80"/>
    </row>
    <row r="81" spans="1:7" x14ac:dyDescent="0.35">
      <c r="A81" t="s">
        <v>2046</v>
      </c>
      <c r="B81">
        <v>1039.1590000000001</v>
      </c>
      <c r="C81">
        <v>1044.2574999999999</v>
      </c>
      <c r="E81" s="2"/>
      <c r="G81"/>
    </row>
    <row r="82" spans="1:7" x14ac:dyDescent="0.35">
      <c r="A82" t="s">
        <v>2047</v>
      </c>
      <c r="B82" t="s">
        <v>1988</v>
      </c>
      <c r="C82" t="s">
        <v>1988</v>
      </c>
      <c r="E82" s="2"/>
      <c r="G82"/>
    </row>
    <row r="83" spans="1:7" x14ac:dyDescent="0.35">
      <c r="A83" t="s">
        <v>2048</v>
      </c>
      <c r="B83" t="s">
        <v>1988</v>
      </c>
      <c r="C83" t="s">
        <v>1988</v>
      </c>
      <c r="E83" s="2"/>
      <c r="G83"/>
    </row>
    <row r="84" spans="1:7" x14ac:dyDescent="0.35">
      <c r="A84" t="s">
        <v>2049</v>
      </c>
      <c r="B84">
        <v>1024.9956</v>
      </c>
      <c r="C84">
        <v>1030.0244</v>
      </c>
      <c r="E84" s="2"/>
      <c r="G84"/>
    </row>
    <row r="85" spans="1:7" x14ac:dyDescent="0.35">
      <c r="A85" t="s">
        <v>2050</v>
      </c>
      <c r="B85" t="s">
        <v>1988</v>
      </c>
      <c r="C85" t="s">
        <v>1988</v>
      </c>
      <c r="E85" s="2"/>
      <c r="G85"/>
    </row>
    <row r="86" spans="1:7" x14ac:dyDescent="0.35">
      <c r="A86" t="s">
        <v>2051</v>
      </c>
      <c r="B86">
        <v>2518.0911999999998</v>
      </c>
      <c r="C86">
        <v>2530.4454999999998</v>
      </c>
      <c r="E86" s="2"/>
      <c r="G86"/>
    </row>
    <row r="87" spans="1:7" x14ac:dyDescent="0.35">
      <c r="A87" t="s">
        <v>2052</v>
      </c>
      <c r="B87" t="s">
        <v>1988</v>
      </c>
      <c r="C87" t="s">
        <v>1988</v>
      </c>
      <c r="E87" s="2"/>
      <c r="G87"/>
    </row>
    <row r="88" spans="1:7" x14ac:dyDescent="0.35">
      <c r="A88" t="s">
        <v>2053</v>
      </c>
      <c r="B88">
        <v>1244.3558</v>
      </c>
      <c r="C88">
        <v>1244.6387</v>
      </c>
      <c r="E88" s="2"/>
      <c r="G88"/>
    </row>
    <row r="89" spans="1:7" x14ac:dyDescent="0.35">
      <c r="A89" t="s">
        <v>2054</v>
      </c>
      <c r="B89">
        <v>1231.8681999999999</v>
      </c>
      <c r="C89">
        <v>1232.1987999999999</v>
      </c>
      <c r="E89" s="2"/>
      <c r="G89"/>
    </row>
    <row r="90" spans="1:7" x14ac:dyDescent="0.35">
      <c r="A90" t="s">
        <v>2029</v>
      </c>
      <c r="B90" t="s">
        <v>1988</v>
      </c>
      <c r="C90" t="s">
        <v>1988</v>
      </c>
      <c r="E90" s="2"/>
      <c r="G90"/>
    </row>
    <row r="91" spans="1:7" x14ac:dyDescent="0.35">
      <c r="A91" t="s">
        <v>2030</v>
      </c>
      <c r="B91" t="s">
        <v>1988</v>
      </c>
      <c r="C91" t="s">
        <v>1988</v>
      </c>
      <c r="E91" s="2"/>
      <c r="G91"/>
    </row>
    <row r="92" spans="1:7" x14ac:dyDescent="0.35">
      <c r="A92" t="s">
        <v>2031</v>
      </c>
      <c r="B92" t="s">
        <v>1988</v>
      </c>
      <c r="C92" t="s">
        <v>1988</v>
      </c>
      <c r="E92" s="2"/>
      <c r="G92"/>
    </row>
    <row r="93" spans="1:7" x14ac:dyDescent="0.35">
      <c r="A93" t="s">
        <v>2032</v>
      </c>
      <c r="B93" t="s">
        <v>1988</v>
      </c>
      <c r="C93" t="s">
        <v>1988</v>
      </c>
      <c r="E93" s="2"/>
      <c r="G93"/>
    </row>
    <row r="94" spans="1:7" x14ac:dyDescent="0.35">
      <c r="A94" t="s">
        <v>1999</v>
      </c>
      <c r="E94" s="2"/>
      <c r="G94"/>
    </row>
    <row r="96" spans="1:7" x14ac:dyDescent="0.35">
      <c r="A96" s="137" t="s">
        <v>2020</v>
      </c>
      <c r="B96" s="137"/>
      <c r="C96" s="137"/>
      <c r="D96" s="137"/>
    </row>
    <row r="97" spans="1:7" s="137" customFormat="1" x14ac:dyDescent="0.35">
      <c r="G97" s="2"/>
    </row>
    <row r="98" spans="1:7" s="137" customFormat="1" x14ac:dyDescent="0.35">
      <c r="A98" s="149" t="s">
        <v>2021</v>
      </c>
      <c r="B98" s="149" t="s">
        <v>2022</v>
      </c>
      <c r="C98" s="149" t="s">
        <v>2023</v>
      </c>
      <c r="D98" s="149" t="s">
        <v>2024</v>
      </c>
      <c r="G98" s="2"/>
    </row>
    <row r="99" spans="1:7" s="137" customFormat="1" x14ac:dyDescent="0.35">
      <c r="A99" s="149" t="s">
        <v>2142</v>
      </c>
      <c r="B99" s="149"/>
      <c r="C99" s="149">
        <v>4.894711</v>
      </c>
      <c r="D99" s="149">
        <v>4.894711</v>
      </c>
      <c r="G99" s="2"/>
    </row>
    <row r="100" spans="1:7" s="137" customFormat="1" x14ac:dyDescent="0.35">
      <c r="A100" s="149" t="s">
        <v>2025</v>
      </c>
      <c r="B100" s="149"/>
      <c r="C100" s="149">
        <v>10.4599016</v>
      </c>
      <c r="D100" s="149">
        <v>10.4599016</v>
      </c>
      <c r="G100" s="2"/>
    </row>
    <row r="101" spans="1:7" s="137" customFormat="1" x14ac:dyDescent="0.35">
      <c r="A101" s="149" t="s">
        <v>2042</v>
      </c>
      <c r="B101" s="149"/>
      <c r="C101" s="149">
        <v>10.8910638</v>
      </c>
      <c r="D101" s="149">
        <v>10.8910638</v>
      </c>
      <c r="G101" s="2"/>
    </row>
    <row r="102" spans="1:7" s="137" customFormat="1" x14ac:dyDescent="0.35">
      <c r="A102" s="149" t="s">
        <v>2152</v>
      </c>
      <c r="B102" s="149"/>
      <c r="C102" s="149">
        <v>5.8198695000000003</v>
      </c>
      <c r="D102" s="149">
        <v>5.8198695000000003</v>
      </c>
      <c r="G102" s="2"/>
    </row>
    <row r="103" spans="1:7" s="137" customFormat="1" x14ac:dyDescent="0.35">
      <c r="A103" s="149" t="s">
        <v>2153</v>
      </c>
      <c r="B103" s="149"/>
      <c r="C103" s="149">
        <v>5.6987171999999999</v>
      </c>
      <c r="D103" s="149">
        <v>5.6987171999999999</v>
      </c>
      <c r="G103" s="2"/>
    </row>
    <row r="104" spans="1:7" s="137" customFormat="1" x14ac:dyDescent="0.35">
      <c r="B104" s="34"/>
      <c r="G104" s="2"/>
    </row>
    <row r="105" spans="1:7" x14ac:dyDescent="0.35">
      <c r="A105" t="s">
        <v>2001</v>
      </c>
      <c r="B105" s="34" t="s">
        <v>96</v>
      </c>
    </row>
    <row r="106" spans="1:7" ht="29" x14ac:dyDescent="0.35">
      <c r="A106" s="47" t="s">
        <v>2002</v>
      </c>
      <c r="B106" s="34" t="s">
        <v>96</v>
      </c>
    </row>
    <row r="107" spans="1:7" ht="29" x14ac:dyDescent="0.35">
      <c r="A107" s="47" t="s">
        <v>2003</v>
      </c>
      <c r="B107" s="34" t="s">
        <v>96</v>
      </c>
    </row>
    <row r="108" spans="1:7" x14ac:dyDescent="0.35">
      <c r="A108" t="s">
        <v>2004</v>
      </c>
      <c r="B108" s="49">
        <v>9.9129486694283994E-2</v>
      </c>
    </row>
    <row r="109" spans="1:7" ht="43.5" x14ac:dyDescent="0.35">
      <c r="A109" s="47" t="s">
        <v>2005</v>
      </c>
      <c r="B109" s="34" t="s">
        <v>96</v>
      </c>
    </row>
    <row r="110" spans="1:7" ht="29" x14ac:dyDescent="0.35">
      <c r="A110" s="47" t="s">
        <v>2006</v>
      </c>
      <c r="B110" s="34" t="s">
        <v>96</v>
      </c>
    </row>
    <row r="111" spans="1:7" ht="29" x14ac:dyDescent="0.35">
      <c r="A111" s="47" t="s">
        <v>2009</v>
      </c>
      <c r="B111" s="49">
        <v>1720.6512617000001</v>
      </c>
    </row>
    <row r="112" spans="1:7" ht="29" x14ac:dyDescent="0.35">
      <c r="A112" s="47" t="s">
        <v>2135</v>
      </c>
      <c r="B112" s="34" t="s">
        <v>96</v>
      </c>
    </row>
    <row r="113" spans="1:6" ht="29" x14ac:dyDescent="0.35">
      <c r="A113" s="47" t="s">
        <v>2136</v>
      </c>
      <c r="B113" s="34" t="s">
        <v>96</v>
      </c>
    </row>
    <row r="116" spans="1:6" ht="29" x14ac:dyDescent="0.35">
      <c r="A116" s="358" t="s">
        <v>2154</v>
      </c>
      <c r="B116" s="359" t="s">
        <v>2155</v>
      </c>
      <c r="C116" s="359" t="s">
        <v>2156</v>
      </c>
      <c r="D116" s="364" t="s">
        <v>2157</v>
      </c>
      <c r="E116" s="364" t="s">
        <v>2156</v>
      </c>
      <c r="F116" s="364" t="s">
        <v>2157</v>
      </c>
    </row>
    <row r="117" spans="1:6" ht="69.5" customHeight="1" x14ac:dyDescent="0.35">
      <c r="A117" s="363" t="s">
        <v>2215</v>
      </c>
      <c r="B117" s="362"/>
      <c r="C117" s="361" t="s">
        <v>2216</v>
      </c>
      <c r="D117" s="362"/>
      <c r="E117" s="361" t="s">
        <v>2217</v>
      </c>
      <c r="F117" s="360"/>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CE4B1-DCFA-4A84-AF3B-9A05FECB0452}">
  <dimension ref="A1:H45"/>
  <sheetViews>
    <sheetView showGridLines="0" workbookViewId="0">
      <pane ySplit="4" topLeftCell="A43" activePane="bottomLeft" state="frozen"/>
      <selection activeCell="A2" sqref="A2:XFD2"/>
      <selection pane="bottomLeft" activeCell="C45" sqref="C45"/>
    </sheetView>
  </sheetViews>
  <sheetFormatPr defaultRowHeight="14.5" x14ac:dyDescent="0.35"/>
  <cols>
    <col min="1" max="1" width="56.54296875" bestFit="1" customWidth="1"/>
    <col min="2" max="2" width="21.7265625" customWidth="1"/>
    <col min="3" max="3" width="26.6328125" customWidth="1"/>
    <col min="4" max="4" width="21.453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81</v>
      </c>
      <c r="B1" s="151"/>
      <c r="C1" s="151"/>
      <c r="D1" s="151"/>
      <c r="E1" s="151"/>
      <c r="F1" s="151"/>
      <c r="G1" s="151"/>
      <c r="H1" s="50" t="str">
        <f>HYPERLINK("[EDEL_Portfolio Monthly Notes 31-Oct-2022.xlsx]Index!A1","Index")</f>
        <v>Index</v>
      </c>
    </row>
    <row r="2" spans="1:8" ht="31" customHeight="1" x14ac:dyDescent="0.35">
      <c r="A2" s="151" t="s">
        <v>82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1920</v>
      </c>
      <c r="B7" s="30"/>
      <c r="C7" s="30"/>
      <c r="D7" s="13"/>
      <c r="E7" s="14"/>
      <c r="F7" s="15"/>
      <c r="G7" s="15"/>
    </row>
    <row r="8" spans="1:8" x14ac:dyDescent="0.35">
      <c r="A8" s="16" t="s">
        <v>1921</v>
      </c>
      <c r="B8" s="31"/>
      <c r="C8" s="31"/>
      <c r="D8" s="17"/>
      <c r="E8" s="46"/>
      <c r="F8" s="20"/>
      <c r="G8" s="20"/>
    </row>
    <row r="9" spans="1:8" x14ac:dyDescent="0.35">
      <c r="A9" s="12" t="s">
        <v>1922</v>
      </c>
      <c r="B9" s="30" t="s">
        <v>1923</v>
      </c>
      <c r="C9" s="30"/>
      <c r="D9" s="13">
        <v>50178.133000000002</v>
      </c>
      <c r="E9" s="14">
        <v>6413.2</v>
      </c>
      <c r="F9" s="15">
        <v>0.98929999999999996</v>
      </c>
      <c r="G9" s="15"/>
    </row>
    <row r="10" spans="1:8" x14ac:dyDescent="0.35">
      <c r="A10" s="16" t="s">
        <v>102</v>
      </c>
      <c r="B10" s="31"/>
      <c r="C10" s="31"/>
      <c r="D10" s="17"/>
      <c r="E10" s="18">
        <v>6413.2</v>
      </c>
      <c r="F10" s="19">
        <v>0.98929999999999996</v>
      </c>
      <c r="G10" s="20"/>
    </row>
    <row r="11" spans="1:8" x14ac:dyDescent="0.35">
      <c r="A11" s="12"/>
      <c r="B11" s="30"/>
      <c r="C11" s="30"/>
      <c r="D11" s="13"/>
      <c r="E11" s="14"/>
      <c r="F11" s="15"/>
      <c r="G11" s="15"/>
    </row>
    <row r="12" spans="1:8" x14ac:dyDescent="0.35">
      <c r="A12" s="21" t="s">
        <v>129</v>
      </c>
      <c r="B12" s="32"/>
      <c r="C12" s="32"/>
      <c r="D12" s="22"/>
      <c r="E12" s="18">
        <v>6413.2</v>
      </c>
      <c r="F12" s="19">
        <v>0.98929999999999996</v>
      </c>
      <c r="G12" s="20"/>
    </row>
    <row r="13" spans="1:8" x14ac:dyDescent="0.35">
      <c r="A13" s="12"/>
      <c r="B13" s="30"/>
      <c r="C13" s="30"/>
      <c r="D13" s="13"/>
      <c r="E13" s="14"/>
      <c r="F13" s="15"/>
      <c r="G13" s="15"/>
    </row>
    <row r="14" spans="1:8" x14ac:dyDescent="0.35">
      <c r="A14" s="16" t="s">
        <v>130</v>
      </c>
      <c r="B14" s="30"/>
      <c r="C14" s="30"/>
      <c r="D14" s="13"/>
      <c r="E14" s="14"/>
      <c r="F14" s="15"/>
      <c r="G14" s="15"/>
    </row>
    <row r="15" spans="1:8" x14ac:dyDescent="0.35">
      <c r="A15" s="12" t="s">
        <v>131</v>
      </c>
      <c r="B15" s="30"/>
      <c r="C15" s="30"/>
      <c r="D15" s="13"/>
      <c r="E15" s="14">
        <v>94.98</v>
      </c>
      <c r="F15" s="15">
        <v>1.47E-2</v>
      </c>
      <c r="G15" s="125">
        <v>6.1074000000000003E-2</v>
      </c>
    </row>
    <row r="16" spans="1:8" x14ac:dyDescent="0.35">
      <c r="A16" s="16" t="s">
        <v>102</v>
      </c>
      <c r="B16" s="31"/>
      <c r="C16" s="31"/>
      <c r="D16" s="17"/>
      <c r="E16" s="18">
        <v>94.98</v>
      </c>
      <c r="F16" s="19">
        <v>1.47E-2</v>
      </c>
      <c r="G16" s="126"/>
    </row>
    <row r="17" spans="1:7" x14ac:dyDescent="0.35">
      <c r="A17" s="12"/>
      <c r="B17" s="30"/>
      <c r="C17" s="30"/>
      <c r="D17" s="13"/>
      <c r="E17" s="14"/>
      <c r="F17" s="15"/>
      <c r="G17" s="125"/>
    </row>
    <row r="18" spans="1:7" x14ac:dyDescent="0.35">
      <c r="A18" s="21" t="s">
        <v>129</v>
      </c>
      <c r="B18" s="32"/>
      <c r="C18" s="32"/>
      <c r="D18" s="22"/>
      <c r="E18" s="18">
        <v>94.98</v>
      </c>
      <c r="F18" s="19">
        <v>1.47E-2</v>
      </c>
      <c r="G18" s="126"/>
    </row>
    <row r="19" spans="1:7" x14ac:dyDescent="0.35">
      <c r="A19" s="12" t="s">
        <v>132</v>
      </c>
      <c r="B19" s="30"/>
      <c r="C19" s="30"/>
      <c r="D19" s="13"/>
      <c r="E19" s="14">
        <v>1.5893299999999999E-2</v>
      </c>
      <c r="F19" s="15">
        <v>1.9999999999999999E-6</v>
      </c>
      <c r="G19" s="125"/>
    </row>
    <row r="20" spans="1:7" x14ac:dyDescent="0.35">
      <c r="A20" s="12" t="s">
        <v>133</v>
      </c>
      <c r="B20" s="30"/>
      <c r="C20" s="30"/>
      <c r="D20" s="13"/>
      <c r="E20" s="23">
        <v>-25.875893300000001</v>
      </c>
      <c r="F20" s="24">
        <v>-4.0020000000000003E-3</v>
      </c>
      <c r="G20" s="125">
        <v>6.1074000000000003E-2</v>
      </c>
    </row>
    <row r="21" spans="1:7" x14ac:dyDescent="0.35">
      <c r="A21" s="25" t="s">
        <v>134</v>
      </c>
      <c r="B21" s="33"/>
      <c r="C21" s="33"/>
      <c r="D21" s="26"/>
      <c r="E21" s="27">
        <v>6482.32</v>
      </c>
      <c r="F21" s="28">
        <v>1</v>
      </c>
      <c r="G21" s="28"/>
    </row>
    <row r="26" spans="1:7" x14ac:dyDescent="0.35">
      <c r="A26" s="1" t="s">
        <v>1981</v>
      </c>
    </row>
    <row r="27" spans="1:7" x14ac:dyDescent="0.35">
      <c r="A27" s="47" t="s">
        <v>1982</v>
      </c>
      <c r="B27" s="34" t="s">
        <v>96</v>
      </c>
    </row>
    <row r="28" spans="1:7" x14ac:dyDescent="0.35">
      <c r="A28" t="s">
        <v>1983</v>
      </c>
    </row>
    <row r="29" spans="1:7" x14ac:dyDescent="0.35">
      <c r="A29" t="s">
        <v>1984</v>
      </c>
      <c r="B29" t="s">
        <v>1985</v>
      </c>
      <c r="C29" t="s">
        <v>1985</v>
      </c>
    </row>
    <row r="30" spans="1:7" x14ac:dyDescent="0.35">
      <c r="B30" s="48">
        <v>44834</v>
      </c>
      <c r="C30" s="48">
        <v>44865</v>
      </c>
    </row>
    <row r="31" spans="1:7" x14ac:dyDescent="0.35">
      <c r="A31" t="s">
        <v>1989</v>
      </c>
      <c r="B31">
        <v>24.387</v>
      </c>
      <c r="C31">
        <v>24.795000000000002</v>
      </c>
      <c r="E31" s="2"/>
      <c r="G31"/>
    </row>
    <row r="32" spans="1:7" x14ac:dyDescent="0.35">
      <c r="A32" t="s">
        <v>2014</v>
      </c>
      <c r="B32">
        <v>22.286000000000001</v>
      </c>
      <c r="C32">
        <v>22.646000000000001</v>
      </c>
      <c r="E32" s="2"/>
      <c r="G32"/>
    </row>
    <row r="33" spans="1:7" x14ac:dyDescent="0.35">
      <c r="E33" s="2"/>
      <c r="G33"/>
    </row>
    <row r="34" spans="1:7" x14ac:dyDescent="0.35">
      <c r="A34" t="s">
        <v>2000</v>
      </c>
      <c r="B34" s="34" t="s">
        <v>96</v>
      </c>
    </row>
    <row r="35" spans="1:7" x14ac:dyDescent="0.35">
      <c r="A35" t="s">
        <v>2001</v>
      </c>
      <c r="B35" s="34" t="s">
        <v>96</v>
      </c>
    </row>
    <row r="36" spans="1:7" ht="29" x14ac:dyDescent="0.35">
      <c r="A36" s="47" t="s">
        <v>2002</v>
      </c>
      <c r="B36" s="34" t="s">
        <v>96</v>
      </c>
    </row>
    <row r="37" spans="1:7" ht="29" x14ac:dyDescent="0.35">
      <c r="A37" s="47" t="s">
        <v>2003</v>
      </c>
      <c r="B37" s="49">
        <v>6413.1990400000004</v>
      </c>
    </row>
    <row r="38" spans="1:7" ht="29" x14ac:dyDescent="0.35">
      <c r="A38" s="47" t="s">
        <v>2055</v>
      </c>
      <c r="B38" s="34" t="s">
        <v>96</v>
      </c>
    </row>
    <row r="39" spans="1:7" ht="29" x14ac:dyDescent="0.35">
      <c r="A39" s="47" t="s">
        <v>2056</v>
      </c>
      <c r="B39" s="34" t="s">
        <v>96</v>
      </c>
    </row>
    <row r="40" spans="1:7" x14ac:dyDescent="0.35">
      <c r="A40" s="137" t="s">
        <v>2137</v>
      </c>
      <c r="B40" s="34" t="s">
        <v>96</v>
      </c>
    </row>
    <row r="41" spans="1:7" x14ac:dyDescent="0.35">
      <c r="A41" s="137" t="s">
        <v>2138</v>
      </c>
      <c r="B41" s="34" t="s">
        <v>96</v>
      </c>
    </row>
    <row r="42" spans="1:7" x14ac:dyDescent="0.35">
      <c r="A42" s="47"/>
      <c r="B42" s="34"/>
    </row>
    <row r="43" spans="1:7" x14ac:dyDescent="0.35">
      <c r="A43" s="47"/>
      <c r="B43" s="34"/>
    </row>
    <row r="44" spans="1:7" ht="29" x14ac:dyDescent="0.35">
      <c r="A44" s="365" t="s">
        <v>2154</v>
      </c>
      <c r="B44" s="366" t="s">
        <v>2155</v>
      </c>
      <c r="C44" s="366" t="s">
        <v>2156</v>
      </c>
      <c r="D44" s="369" t="s">
        <v>2157</v>
      </c>
    </row>
    <row r="45" spans="1:7" ht="70" customHeight="1" x14ac:dyDescent="0.35">
      <c r="A45" s="368" t="s">
        <v>2218</v>
      </c>
      <c r="B45" s="367"/>
      <c r="C45" s="404" t="s">
        <v>2240</v>
      </c>
      <c r="D45" s="367"/>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E406-0756-4DDC-A96F-A37DB29593C6}">
  <dimension ref="A1:H45"/>
  <sheetViews>
    <sheetView showGridLines="0" workbookViewId="0">
      <pane ySplit="4" topLeftCell="A43" activePane="bottomLeft" state="frozen"/>
      <selection activeCell="A2" sqref="A2:XFD2"/>
      <selection pane="bottomLeft" activeCell="D45" sqref="D45"/>
    </sheetView>
  </sheetViews>
  <sheetFormatPr defaultRowHeight="14.5" x14ac:dyDescent="0.35"/>
  <cols>
    <col min="1" max="1" width="56.54296875" bestFit="1" customWidth="1"/>
    <col min="2" max="2" width="21.54296875" customWidth="1"/>
    <col min="3" max="3" width="26.6328125" customWidth="1"/>
    <col min="4" max="4" width="21.6328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83</v>
      </c>
      <c r="B1" s="151"/>
      <c r="C1" s="151"/>
      <c r="D1" s="151"/>
      <c r="E1" s="151"/>
      <c r="F1" s="151"/>
      <c r="G1" s="151"/>
      <c r="H1" s="50" t="str">
        <f>HYPERLINK("[EDEL_Portfolio Monthly Notes 31-Oct-2022.xlsx]Index!A1","Index")</f>
        <v>Index</v>
      </c>
    </row>
    <row r="2" spans="1:8" ht="31" customHeight="1" x14ac:dyDescent="0.35">
      <c r="A2" s="151" t="s">
        <v>84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1920</v>
      </c>
      <c r="B7" s="30"/>
      <c r="C7" s="30"/>
      <c r="D7" s="13"/>
      <c r="E7" s="14"/>
      <c r="F7" s="15"/>
      <c r="G7" s="15"/>
    </row>
    <row r="8" spans="1:8" x14ac:dyDescent="0.35">
      <c r="A8" s="16" t="s">
        <v>1921</v>
      </c>
      <c r="B8" s="31"/>
      <c r="C8" s="31"/>
      <c r="D8" s="17"/>
      <c r="E8" s="46"/>
      <c r="F8" s="20"/>
      <c r="G8" s="20"/>
    </row>
    <row r="9" spans="1:8" x14ac:dyDescent="0.35">
      <c r="A9" s="12" t="s">
        <v>1924</v>
      </c>
      <c r="B9" s="30" t="s">
        <v>1925</v>
      </c>
      <c r="C9" s="30"/>
      <c r="D9" s="13">
        <v>1391663.828</v>
      </c>
      <c r="E9" s="14">
        <v>126428.43</v>
      </c>
      <c r="F9" s="15">
        <v>0.99619999999999997</v>
      </c>
      <c r="G9" s="15"/>
    </row>
    <row r="10" spans="1:8" x14ac:dyDescent="0.35">
      <c r="A10" s="16" t="s">
        <v>102</v>
      </c>
      <c r="B10" s="31"/>
      <c r="C10" s="31"/>
      <c r="D10" s="17"/>
      <c r="E10" s="18">
        <v>126428.43</v>
      </c>
      <c r="F10" s="19">
        <v>0.99619999999999997</v>
      </c>
      <c r="G10" s="20"/>
    </row>
    <row r="11" spans="1:8" x14ac:dyDescent="0.35">
      <c r="A11" s="12"/>
      <c r="B11" s="30"/>
      <c r="C11" s="30"/>
      <c r="D11" s="13"/>
      <c r="E11" s="14"/>
      <c r="F11" s="15"/>
      <c r="G11" s="15"/>
    </row>
    <row r="12" spans="1:8" x14ac:dyDescent="0.35">
      <c r="A12" s="21" t="s">
        <v>129</v>
      </c>
      <c r="B12" s="32"/>
      <c r="C12" s="32"/>
      <c r="D12" s="22"/>
      <c r="E12" s="18">
        <v>126428.43</v>
      </c>
      <c r="F12" s="19">
        <v>0.99619999999999997</v>
      </c>
      <c r="G12" s="20"/>
    </row>
    <row r="13" spans="1:8" x14ac:dyDescent="0.35">
      <c r="A13" s="12"/>
      <c r="B13" s="30"/>
      <c r="C13" s="30"/>
      <c r="D13" s="13"/>
      <c r="E13" s="14"/>
      <c r="F13" s="15"/>
      <c r="G13" s="15"/>
    </row>
    <row r="14" spans="1:8" x14ac:dyDescent="0.35">
      <c r="A14" s="16" t="s">
        <v>130</v>
      </c>
      <c r="B14" s="30"/>
      <c r="C14" s="30"/>
      <c r="D14" s="13"/>
      <c r="E14" s="14"/>
      <c r="F14" s="15"/>
      <c r="G14" s="15"/>
    </row>
    <row r="15" spans="1:8" x14ac:dyDescent="0.35">
      <c r="A15" s="12" t="s">
        <v>131</v>
      </c>
      <c r="B15" s="30"/>
      <c r="C15" s="30"/>
      <c r="D15" s="13"/>
      <c r="E15" s="14">
        <v>1481.75</v>
      </c>
      <c r="F15" s="15">
        <v>1.17E-2</v>
      </c>
      <c r="G15" s="127">
        <v>6.1074000000000003E-2</v>
      </c>
    </row>
    <row r="16" spans="1:8" x14ac:dyDescent="0.35">
      <c r="A16" s="16" t="s">
        <v>102</v>
      </c>
      <c r="B16" s="31"/>
      <c r="C16" s="31"/>
      <c r="D16" s="17"/>
      <c r="E16" s="18">
        <v>1481.75</v>
      </c>
      <c r="F16" s="19">
        <v>1.17E-2</v>
      </c>
      <c r="G16" s="128"/>
    </row>
    <row r="17" spans="1:7" x14ac:dyDescent="0.35">
      <c r="A17" s="12"/>
      <c r="B17" s="30"/>
      <c r="C17" s="30"/>
      <c r="D17" s="13"/>
      <c r="E17" s="14"/>
      <c r="F17" s="15"/>
      <c r="G17" s="127"/>
    </row>
    <row r="18" spans="1:7" x14ac:dyDescent="0.35">
      <c r="A18" s="21" t="s">
        <v>129</v>
      </c>
      <c r="B18" s="32"/>
      <c r="C18" s="32"/>
      <c r="D18" s="22"/>
      <c r="E18" s="18">
        <v>1481.75</v>
      </c>
      <c r="F18" s="19">
        <v>1.17E-2</v>
      </c>
      <c r="G18" s="128"/>
    </row>
    <row r="19" spans="1:7" x14ac:dyDescent="0.35">
      <c r="A19" s="12" t="s">
        <v>132</v>
      </c>
      <c r="B19" s="30"/>
      <c r="C19" s="30"/>
      <c r="D19" s="13"/>
      <c r="E19" s="14">
        <v>0.24793570000000001</v>
      </c>
      <c r="F19" s="15">
        <v>9.9999999999999995E-7</v>
      </c>
      <c r="G19" s="127"/>
    </row>
    <row r="20" spans="1:7" x14ac:dyDescent="0.35">
      <c r="A20" s="12" t="s">
        <v>133</v>
      </c>
      <c r="B20" s="30"/>
      <c r="C20" s="30"/>
      <c r="D20" s="13"/>
      <c r="E20" s="23">
        <v>-1001.4579357</v>
      </c>
      <c r="F20" s="24">
        <v>-7.901E-3</v>
      </c>
      <c r="G20" s="127">
        <v>6.1074000000000003E-2</v>
      </c>
    </row>
    <row r="21" spans="1:7" x14ac:dyDescent="0.35">
      <c r="A21" s="25" t="s">
        <v>134</v>
      </c>
      <c r="B21" s="33"/>
      <c r="C21" s="33"/>
      <c r="D21" s="26"/>
      <c r="E21" s="27">
        <v>126908.97</v>
      </c>
      <c r="F21" s="28">
        <v>1</v>
      </c>
      <c r="G21" s="28"/>
    </row>
    <row r="26" spans="1:7" x14ac:dyDescent="0.35">
      <c r="A26" s="1" t="s">
        <v>1981</v>
      </c>
    </row>
    <row r="27" spans="1:7" x14ac:dyDescent="0.35">
      <c r="A27" s="47" t="s">
        <v>1982</v>
      </c>
      <c r="B27" s="34" t="s">
        <v>96</v>
      </c>
    </row>
    <row r="28" spans="1:7" x14ac:dyDescent="0.35">
      <c r="A28" t="s">
        <v>1983</v>
      </c>
    </row>
    <row r="29" spans="1:7" x14ac:dyDescent="0.35">
      <c r="A29" t="s">
        <v>1984</v>
      </c>
      <c r="B29" t="s">
        <v>1985</v>
      </c>
      <c r="C29" t="s">
        <v>1985</v>
      </c>
    </row>
    <row r="30" spans="1:7" x14ac:dyDescent="0.35">
      <c r="B30" s="48">
        <v>44834</v>
      </c>
      <c r="C30" s="48">
        <v>44865</v>
      </c>
    </row>
    <row r="31" spans="1:7" x14ac:dyDescent="0.35">
      <c r="A31" t="s">
        <v>1989</v>
      </c>
      <c r="B31">
        <v>35.145000000000003</v>
      </c>
      <c r="C31">
        <v>30.888000000000002</v>
      </c>
      <c r="E31" s="2"/>
      <c r="G31"/>
    </row>
    <row r="32" spans="1:7" x14ac:dyDescent="0.35">
      <c r="A32" t="s">
        <v>2014</v>
      </c>
      <c r="B32">
        <v>32.088999999999999</v>
      </c>
      <c r="C32">
        <v>28.181000000000001</v>
      </c>
      <c r="E32" s="2"/>
      <c r="G32"/>
    </row>
    <row r="33" spans="1:7" x14ac:dyDescent="0.35">
      <c r="E33" s="2"/>
      <c r="G33"/>
    </row>
    <row r="34" spans="1:7" x14ac:dyDescent="0.35">
      <c r="A34" t="s">
        <v>2000</v>
      </c>
      <c r="B34" s="34" t="s">
        <v>96</v>
      </c>
    </row>
    <row r="35" spans="1:7" x14ac:dyDescent="0.35">
      <c r="A35" t="s">
        <v>2001</v>
      </c>
      <c r="B35" s="34" t="s">
        <v>96</v>
      </c>
    </row>
    <row r="36" spans="1:7" ht="29" x14ac:dyDescent="0.35">
      <c r="A36" s="47" t="s">
        <v>2002</v>
      </c>
      <c r="B36" s="34" t="s">
        <v>96</v>
      </c>
    </row>
    <row r="37" spans="1:7" ht="29" x14ac:dyDescent="0.35">
      <c r="A37" s="47" t="s">
        <v>2003</v>
      </c>
      <c r="B37" s="49">
        <v>126428.432072</v>
      </c>
    </row>
    <row r="38" spans="1:7" ht="29" x14ac:dyDescent="0.35">
      <c r="A38" s="47" t="s">
        <v>2055</v>
      </c>
      <c r="B38" s="34" t="s">
        <v>96</v>
      </c>
    </row>
    <row r="39" spans="1:7" ht="29" x14ac:dyDescent="0.35">
      <c r="A39" s="47" t="s">
        <v>2056</v>
      </c>
      <c r="B39" s="34" t="s">
        <v>96</v>
      </c>
    </row>
    <row r="40" spans="1:7" x14ac:dyDescent="0.35">
      <c r="A40" s="137" t="s">
        <v>2137</v>
      </c>
      <c r="B40" s="34" t="s">
        <v>96</v>
      </c>
    </row>
    <row r="41" spans="1:7" x14ac:dyDescent="0.35">
      <c r="A41" s="137" t="s">
        <v>2138</v>
      </c>
      <c r="B41" s="34" t="s">
        <v>96</v>
      </c>
    </row>
    <row r="42" spans="1:7" x14ac:dyDescent="0.35">
      <c r="A42" s="47"/>
      <c r="B42" s="34"/>
    </row>
    <row r="43" spans="1:7" x14ac:dyDescent="0.35">
      <c r="A43" s="47"/>
      <c r="B43" s="34"/>
    </row>
    <row r="44" spans="1:7" ht="29" x14ac:dyDescent="0.35">
      <c r="A44" s="370" t="s">
        <v>2154</v>
      </c>
      <c r="B44" s="371" t="s">
        <v>2155</v>
      </c>
      <c r="C44" s="371" t="s">
        <v>2156</v>
      </c>
      <c r="D44" s="375" t="s">
        <v>2157</v>
      </c>
    </row>
    <row r="45" spans="1:7" ht="71.5" customHeight="1" x14ac:dyDescent="0.35">
      <c r="A45" s="374" t="s">
        <v>2219</v>
      </c>
      <c r="B45" s="372"/>
      <c r="C45" s="373" t="s">
        <v>2220</v>
      </c>
      <c r="D45" s="372"/>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EBB-4971-48B8-B28B-1B2E94034459}">
  <dimension ref="A1:H96"/>
  <sheetViews>
    <sheetView showGridLines="0" workbookViewId="0">
      <pane ySplit="4" topLeftCell="A94" activePane="bottomLeft" state="frozen"/>
      <selection activeCell="A2" sqref="A2:XFD2"/>
      <selection pane="bottomLeft" activeCell="D96" sqref="D96"/>
    </sheetView>
  </sheetViews>
  <sheetFormatPr defaultRowHeight="14.5" x14ac:dyDescent="0.35"/>
  <cols>
    <col min="1" max="1" width="56.54296875" bestFit="1" customWidth="1"/>
    <col min="2" max="2" width="21.36328125" customWidth="1"/>
    <col min="3" max="3" width="26.6328125" customWidth="1"/>
    <col min="4" max="4" width="21.7265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85</v>
      </c>
      <c r="B1" s="151"/>
      <c r="C1" s="151"/>
      <c r="D1" s="151"/>
      <c r="E1" s="151"/>
      <c r="F1" s="151"/>
      <c r="G1" s="151"/>
      <c r="H1" s="50" t="str">
        <f>HYPERLINK("[EDEL_Portfolio Monthly Notes 31-Oct-2022.xlsx]Index!A1","Index")</f>
        <v>Index</v>
      </c>
    </row>
    <row r="2" spans="1:8" ht="31" customHeight="1" x14ac:dyDescent="0.35">
      <c r="A2" s="151" t="s">
        <v>86</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6" t="s">
        <v>95</v>
      </c>
      <c r="B6" s="30"/>
      <c r="C6" s="30"/>
      <c r="D6" s="13"/>
      <c r="E6" s="14"/>
      <c r="F6" s="15"/>
      <c r="G6" s="15"/>
    </row>
    <row r="7" spans="1:8" x14ac:dyDescent="0.35">
      <c r="A7" s="16" t="s">
        <v>856</v>
      </c>
      <c r="B7" s="30"/>
      <c r="C7" s="30"/>
      <c r="D7" s="13"/>
      <c r="E7" s="14"/>
      <c r="F7" s="15"/>
      <c r="G7" s="15"/>
    </row>
    <row r="8" spans="1:8" x14ac:dyDescent="0.35">
      <c r="A8" s="12" t="s">
        <v>1042</v>
      </c>
      <c r="B8" s="30" t="s">
        <v>1043</v>
      </c>
      <c r="C8" s="30" t="s">
        <v>943</v>
      </c>
      <c r="D8" s="13">
        <v>200561</v>
      </c>
      <c r="E8" s="14">
        <v>2039.5</v>
      </c>
      <c r="F8" s="15">
        <v>0.1348</v>
      </c>
      <c r="G8" s="15"/>
    </row>
    <row r="9" spans="1:8" x14ac:dyDescent="0.35">
      <c r="A9" s="12" t="s">
        <v>1522</v>
      </c>
      <c r="B9" s="30" t="s">
        <v>1523</v>
      </c>
      <c r="C9" s="30" t="s">
        <v>943</v>
      </c>
      <c r="D9" s="13">
        <v>101171</v>
      </c>
      <c r="E9" s="14">
        <v>1181.07</v>
      </c>
      <c r="F9" s="15">
        <v>7.8100000000000003E-2</v>
      </c>
      <c r="G9" s="15"/>
    </row>
    <row r="10" spans="1:8" x14ac:dyDescent="0.35">
      <c r="A10" s="12" t="s">
        <v>1114</v>
      </c>
      <c r="B10" s="30" t="s">
        <v>1115</v>
      </c>
      <c r="C10" s="30" t="s">
        <v>943</v>
      </c>
      <c r="D10" s="13">
        <v>24345</v>
      </c>
      <c r="E10" s="14">
        <v>1079.3800000000001</v>
      </c>
      <c r="F10" s="15">
        <v>7.1400000000000005E-2</v>
      </c>
      <c r="G10" s="15"/>
    </row>
    <row r="11" spans="1:8" x14ac:dyDescent="0.35">
      <c r="A11" s="12" t="s">
        <v>1151</v>
      </c>
      <c r="B11" s="30" t="s">
        <v>1152</v>
      </c>
      <c r="C11" s="30" t="s">
        <v>943</v>
      </c>
      <c r="D11" s="13">
        <v>27739</v>
      </c>
      <c r="E11" s="14">
        <v>1001.07</v>
      </c>
      <c r="F11" s="15">
        <v>6.6199999999999995E-2</v>
      </c>
      <c r="G11" s="15"/>
    </row>
    <row r="12" spans="1:8" x14ac:dyDescent="0.35">
      <c r="A12" s="12" t="s">
        <v>1055</v>
      </c>
      <c r="B12" s="30" t="s">
        <v>1056</v>
      </c>
      <c r="C12" s="30" t="s">
        <v>1057</v>
      </c>
      <c r="D12" s="13">
        <v>21033</v>
      </c>
      <c r="E12" s="14">
        <v>950.17</v>
      </c>
      <c r="F12" s="15">
        <v>6.2799999999999995E-2</v>
      </c>
      <c r="G12" s="15"/>
    </row>
    <row r="13" spans="1:8" x14ac:dyDescent="0.35">
      <c r="A13" s="12" t="s">
        <v>1530</v>
      </c>
      <c r="B13" s="30" t="s">
        <v>1531</v>
      </c>
      <c r="C13" s="30" t="s">
        <v>1057</v>
      </c>
      <c r="D13" s="13">
        <v>147398</v>
      </c>
      <c r="E13" s="14">
        <v>672.58</v>
      </c>
      <c r="F13" s="15">
        <v>4.4499999999999998E-2</v>
      </c>
      <c r="G13" s="15"/>
    </row>
    <row r="14" spans="1:8" x14ac:dyDescent="0.35">
      <c r="A14" s="12" t="s">
        <v>1193</v>
      </c>
      <c r="B14" s="30" t="s">
        <v>1194</v>
      </c>
      <c r="C14" s="30" t="s">
        <v>943</v>
      </c>
      <c r="D14" s="13">
        <v>21219</v>
      </c>
      <c r="E14" s="14">
        <v>350.11</v>
      </c>
      <c r="F14" s="15">
        <v>2.3099999999999999E-2</v>
      </c>
      <c r="G14" s="15"/>
    </row>
    <row r="15" spans="1:8" x14ac:dyDescent="0.35">
      <c r="A15" s="12" t="s">
        <v>1063</v>
      </c>
      <c r="B15" s="30" t="s">
        <v>1064</v>
      </c>
      <c r="C15" s="30" t="s">
        <v>943</v>
      </c>
      <c r="D15" s="13">
        <v>72992</v>
      </c>
      <c r="E15" s="14">
        <v>331.79</v>
      </c>
      <c r="F15" s="15">
        <v>2.1899999999999999E-2</v>
      </c>
      <c r="G15" s="15"/>
    </row>
    <row r="16" spans="1:8" x14ac:dyDescent="0.35">
      <c r="A16" s="12" t="s">
        <v>1139</v>
      </c>
      <c r="B16" s="30" t="s">
        <v>1140</v>
      </c>
      <c r="C16" s="30" t="s">
        <v>943</v>
      </c>
      <c r="D16" s="13">
        <v>42747</v>
      </c>
      <c r="E16" s="14">
        <v>298.8</v>
      </c>
      <c r="F16" s="15">
        <v>1.9800000000000002E-2</v>
      </c>
      <c r="G16" s="15"/>
    </row>
    <row r="17" spans="1:7" x14ac:dyDescent="0.35">
      <c r="A17" s="12" t="s">
        <v>998</v>
      </c>
      <c r="B17" s="30" t="s">
        <v>999</v>
      </c>
      <c r="C17" s="30" t="s">
        <v>943</v>
      </c>
      <c r="D17" s="13">
        <v>55103</v>
      </c>
      <c r="E17" s="14">
        <v>296.54000000000002</v>
      </c>
      <c r="F17" s="15">
        <v>1.9599999999999999E-2</v>
      </c>
      <c r="G17" s="15"/>
    </row>
    <row r="18" spans="1:7" x14ac:dyDescent="0.35">
      <c r="A18" s="12" t="s">
        <v>1145</v>
      </c>
      <c r="B18" s="30" t="s">
        <v>1146</v>
      </c>
      <c r="C18" s="30" t="s">
        <v>943</v>
      </c>
      <c r="D18" s="13">
        <v>29155</v>
      </c>
      <c r="E18" s="14">
        <v>263.88</v>
      </c>
      <c r="F18" s="15">
        <v>1.7399999999999999E-2</v>
      </c>
      <c r="G18" s="15"/>
    </row>
    <row r="19" spans="1:7" x14ac:dyDescent="0.35">
      <c r="A19" s="12" t="s">
        <v>1702</v>
      </c>
      <c r="B19" s="30" t="s">
        <v>1703</v>
      </c>
      <c r="C19" s="30" t="s">
        <v>1057</v>
      </c>
      <c r="D19" s="13">
        <v>94663</v>
      </c>
      <c r="E19" s="14">
        <v>262.64</v>
      </c>
      <c r="F19" s="15">
        <v>1.7399999999999999E-2</v>
      </c>
      <c r="G19" s="15"/>
    </row>
    <row r="20" spans="1:7" x14ac:dyDescent="0.35">
      <c r="A20" s="12" t="s">
        <v>1083</v>
      </c>
      <c r="B20" s="30" t="s">
        <v>1084</v>
      </c>
      <c r="C20" s="30" t="s">
        <v>943</v>
      </c>
      <c r="D20" s="13">
        <v>87266</v>
      </c>
      <c r="E20" s="14">
        <v>235.49</v>
      </c>
      <c r="F20" s="15">
        <v>1.5599999999999999E-2</v>
      </c>
      <c r="G20" s="15"/>
    </row>
    <row r="21" spans="1:7" x14ac:dyDescent="0.35">
      <c r="A21" s="12" t="s">
        <v>1182</v>
      </c>
      <c r="B21" s="30" t="s">
        <v>1183</v>
      </c>
      <c r="C21" s="30" t="s">
        <v>943</v>
      </c>
      <c r="D21" s="13">
        <v>1110</v>
      </c>
      <c r="E21" s="14">
        <v>213.64</v>
      </c>
      <c r="F21" s="15">
        <v>1.41E-2</v>
      </c>
      <c r="G21" s="15"/>
    </row>
    <row r="22" spans="1:7" x14ac:dyDescent="0.35">
      <c r="A22" s="12" t="s">
        <v>1734</v>
      </c>
      <c r="B22" s="30" t="s">
        <v>1735</v>
      </c>
      <c r="C22" s="30" t="s">
        <v>1057</v>
      </c>
      <c r="D22" s="13">
        <v>7839</v>
      </c>
      <c r="E22" s="14">
        <v>200.92</v>
      </c>
      <c r="F22" s="15">
        <v>1.3299999999999999E-2</v>
      </c>
      <c r="G22" s="15"/>
    </row>
    <row r="23" spans="1:7" x14ac:dyDescent="0.35">
      <c r="A23" s="12" t="s">
        <v>1108</v>
      </c>
      <c r="B23" s="30" t="s">
        <v>1109</v>
      </c>
      <c r="C23" s="30" t="s">
        <v>1057</v>
      </c>
      <c r="D23" s="13">
        <v>24957</v>
      </c>
      <c r="E23" s="14">
        <v>157.55000000000001</v>
      </c>
      <c r="F23" s="15">
        <v>1.04E-2</v>
      </c>
      <c r="G23" s="15"/>
    </row>
    <row r="24" spans="1:7" x14ac:dyDescent="0.35">
      <c r="A24" s="12" t="s">
        <v>1744</v>
      </c>
      <c r="B24" s="30" t="s">
        <v>1745</v>
      </c>
      <c r="C24" s="30" t="s">
        <v>943</v>
      </c>
      <c r="D24" s="13">
        <v>2868</v>
      </c>
      <c r="E24" s="14">
        <v>125.56</v>
      </c>
      <c r="F24" s="15">
        <v>8.3000000000000001E-3</v>
      </c>
      <c r="G24" s="15"/>
    </row>
    <row r="25" spans="1:7" x14ac:dyDescent="0.35">
      <c r="A25" s="12" t="s">
        <v>1149</v>
      </c>
      <c r="B25" s="30" t="s">
        <v>1150</v>
      </c>
      <c r="C25" s="30" t="s">
        <v>943</v>
      </c>
      <c r="D25" s="13">
        <v>29484</v>
      </c>
      <c r="E25" s="14">
        <v>119.28</v>
      </c>
      <c r="F25" s="15">
        <v>7.9000000000000008E-3</v>
      </c>
      <c r="G25" s="15"/>
    </row>
    <row r="26" spans="1:7" x14ac:dyDescent="0.35">
      <c r="A26" s="12" t="s">
        <v>1958</v>
      </c>
      <c r="B26" s="30" t="s">
        <v>1959</v>
      </c>
      <c r="C26" s="30" t="s">
        <v>1057</v>
      </c>
      <c r="D26" s="13">
        <v>14949</v>
      </c>
      <c r="E26" s="14">
        <v>118.31</v>
      </c>
      <c r="F26" s="15">
        <v>7.7999999999999996E-3</v>
      </c>
      <c r="G26" s="15"/>
    </row>
    <row r="27" spans="1:7" x14ac:dyDescent="0.35">
      <c r="A27" s="12" t="s">
        <v>1777</v>
      </c>
      <c r="B27" s="30" t="s">
        <v>1778</v>
      </c>
      <c r="C27" s="30" t="s">
        <v>943</v>
      </c>
      <c r="D27" s="13">
        <v>8033</v>
      </c>
      <c r="E27" s="14">
        <v>104.02</v>
      </c>
      <c r="F27" s="15">
        <v>6.8999999999999999E-3</v>
      </c>
      <c r="G27" s="15"/>
    </row>
    <row r="28" spans="1:7" x14ac:dyDescent="0.35">
      <c r="A28" s="12" t="s">
        <v>1767</v>
      </c>
      <c r="B28" s="30" t="s">
        <v>1768</v>
      </c>
      <c r="C28" s="30" t="s">
        <v>943</v>
      </c>
      <c r="D28" s="13">
        <v>17168</v>
      </c>
      <c r="E28" s="14">
        <v>103.14</v>
      </c>
      <c r="F28" s="15">
        <v>6.7999999999999996E-3</v>
      </c>
      <c r="G28" s="15"/>
    </row>
    <row r="29" spans="1:7" x14ac:dyDescent="0.35">
      <c r="A29" s="12" t="s">
        <v>1517</v>
      </c>
      <c r="B29" s="30" t="s">
        <v>1518</v>
      </c>
      <c r="C29" s="30" t="s">
        <v>943</v>
      </c>
      <c r="D29" s="13">
        <v>7081</v>
      </c>
      <c r="E29" s="14">
        <v>97.53</v>
      </c>
      <c r="F29" s="15">
        <v>6.4000000000000003E-3</v>
      </c>
      <c r="G29" s="15"/>
    </row>
    <row r="30" spans="1:7" x14ac:dyDescent="0.35">
      <c r="A30" s="12" t="s">
        <v>1773</v>
      </c>
      <c r="B30" s="30" t="s">
        <v>1774</v>
      </c>
      <c r="C30" s="30" t="s">
        <v>943</v>
      </c>
      <c r="D30" s="13">
        <v>1685</v>
      </c>
      <c r="E30" s="14">
        <v>94.57</v>
      </c>
      <c r="F30" s="15">
        <v>6.3E-3</v>
      </c>
      <c r="G30" s="15"/>
    </row>
    <row r="31" spans="1:7" x14ac:dyDescent="0.35">
      <c r="A31" s="12" t="s">
        <v>1609</v>
      </c>
      <c r="B31" s="30" t="s">
        <v>1610</v>
      </c>
      <c r="C31" s="30" t="s">
        <v>943</v>
      </c>
      <c r="D31" s="13">
        <v>21280</v>
      </c>
      <c r="E31" s="14">
        <v>84.77</v>
      </c>
      <c r="F31" s="15">
        <v>5.5999999999999999E-3</v>
      </c>
      <c r="G31" s="15"/>
    </row>
    <row r="32" spans="1:7" x14ac:dyDescent="0.35">
      <c r="A32" s="12" t="s">
        <v>1806</v>
      </c>
      <c r="B32" s="30" t="s">
        <v>1807</v>
      </c>
      <c r="C32" s="30" t="s">
        <v>943</v>
      </c>
      <c r="D32" s="13">
        <v>12323</v>
      </c>
      <c r="E32" s="14">
        <v>67.790000000000006</v>
      </c>
      <c r="F32" s="15">
        <v>4.4999999999999997E-3</v>
      </c>
      <c r="G32" s="15"/>
    </row>
    <row r="33" spans="1:7" x14ac:dyDescent="0.35">
      <c r="A33" s="16" t="s">
        <v>102</v>
      </c>
      <c r="B33" s="31"/>
      <c r="C33" s="31"/>
      <c r="D33" s="17"/>
      <c r="E33" s="37">
        <v>10450.099999999999</v>
      </c>
      <c r="F33" s="38">
        <v>0.69089999999999985</v>
      </c>
      <c r="G33" s="20"/>
    </row>
    <row r="34" spans="1:7" x14ac:dyDescent="0.35">
      <c r="A34" s="16" t="s">
        <v>1206</v>
      </c>
      <c r="B34" s="30"/>
      <c r="C34" s="30"/>
      <c r="D34" s="13"/>
      <c r="E34" s="14"/>
      <c r="F34" s="15"/>
      <c r="G34" s="15"/>
    </row>
    <row r="35" spans="1:7" x14ac:dyDescent="0.35">
      <c r="A35" s="16" t="s">
        <v>102</v>
      </c>
      <c r="B35" s="30"/>
      <c r="C35" s="30"/>
      <c r="D35" s="13"/>
      <c r="E35" s="39" t="s">
        <v>96</v>
      </c>
      <c r="F35" s="40" t="s">
        <v>96</v>
      </c>
      <c r="G35" s="15"/>
    </row>
    <row r="36" spans="1:7" s="137" customFormat="1" x14ac:dyDescent="0.35">
      <c r="A36" s="142" t="s">
        <v>2134</v>
      </c>
      <c r="B36" s="146"/>
      <c r="C36" s="146"/>
      <c r="D36" s="139"/>
      <c r="E36" s="139"/>
      <c r="F36" s="139"/>
      <c r="G36" s="141"/>
    </row>
    <row r="37" spans="1:7" s="137" customFormat="1" x14ac:dyDescent="0.35">
      <c r="A37" s="138" t="s">
        <v>1926</v>
      </c>
      <c r="B37" s="146" t="s">
        <v>1927</v>
      </c>
      <c r="C37" s="146" t="s">
        <v>1928</v>
      </c>
      <c r="D37" s="139">
        <v>4745</v>
      </c>
      <c r="E37" s="140">
        <v>680.15</v>
      </c>
      <c r="F37" s="141">
        <v>4.4999999999999998E-2</v>
      </c>
      <c r="G37" s="141"/>
    </row>
    <row r="38" spans="1:7" s="137" customFormat="1" x14ac:dyDescent="0.35">
      <c r="A38" s="138" t="s">
        <v>1929</v>
      </c>
      <c r="B38" s="146" t="s">
        <v>1930</v>
      </c>
      <c r="C38" s="146" t="s">
        <v>1928</v>
      </c>
      <c r="D38" s="139">
        <v>1457</v>
      </c>
      <c r="E38" s="140">
        <v>434.68</v>
      </c>
      <c r="F38" s="141">
        <v>2.87E-2</v>
      </c>
      <c r="G38" s="141"/>
    </row>
    <row r="39" spans="1:7" s="137" customFormat="1" x14ac:dyDescent="0.35">
      <c r="A39" s="138" t="s">
        <v>1931</v>
      </c>
      <c r="B39" s="146" t="s">
        <v>1932</v>
      </c>
      <c r="C39" s="146" t="s">
        <v>1928</v>
      </c>
      <c r="D39" s="139">
        <v>10117</v>
      </c>
      <c r="E39" s="140">
        <v>388.03</v>
      </c>
      <c r="F39" s="141">
        <v>2.5700000000000001E-2</v>
      </c>
      <c r="G39" s="141"/>
    </row>
    <row r="40" spans="1:7" s="137" customFormat="1" x14ac:dyDescent="0.35">
      <c r="A40" s="138" t="s">
        <v>1933</v>
      </c>
      <c r="B40" s="146" t="s">
        <v>1934</v>
      </c>
      <c r="C40" s="146" t="s">
        <v>1935</v>
      </c>
      <c r="D40" s="139">
        <v>3187</v>
      </c>
      <c r="E40" s="140">
        <v>384.43</v>
      </c>
      <c r="F40" s="141">
        <v>2.5399999999999999E-2</v>
      </c>
      <c r="G40" s="141"/>
    </row>
    <row r="41" spans="1:7" s="137" customFormat="1" x14ac:dyDescent="0.35">
      <c r="A41" s="138" t="s">
        <v>1936</v>
      </c>
      <c r="B41" s="146" t="s">
        <v>1937</v>
      </c>
      <c r="C41" s="146" t="s">
        <v>1928</v>
      </c>
      <c r="D41" s="139">
        <v>4561</v>
      </c>
      <c r="E41" s="140">
        <v>380.31</v>
      </c>
      <c r="F41" s="141">
        <v>2.5100000000000001E-2</v>
      </c>
      <c r="G41" s="141"/>
    </row>
    <row r="42" spans="1:7" s="137" customFormat="1" x14ac:dyDescent="0.35">
      <c r="A42" s="138" t="s">
        <v>1938</v>
      </c>
      <c r="B42" s="146" t="s">
        <v>1939</v>
      </c>
      <c r="C42" s="146" t="s">
        <v>1940</v>
      </c>
      <c r="D42" s="139">
        <v>707</v>
      </c>
      <c r="E42" s="140">
        <v>299.39999999999998</v>
      </c>
      <c r="F42" s="141">
        <v>1.9800000000000002E-2</v>
      </c>
      <c r="G42" s="141"/>
    </row>
    <row r="43" spans="1:7" s="137" customFormat="1" x14ac:dyDescent="0.35">
      <c r="A43" s="138" t="s">
        <v>1941</v>
      </c>
      <c r="B43" s="146" t="s">
        <v>1942</v>
      </c>
      <c r="C43" s="146" t="s">
        <v>1928</v>
      </c>
      <c r="D43" s="139">
        <v>3901</v>
      </c>
      <c r="E43" s="140">
        <v>260.77</v>
      </c>
      <c r="F43" s="141">
        <v>1.72E-2</v>
      </c>
      <c r="G43" s="141"/>
    </row>
    <row r="44" spans="1:7" s="137" customFormat="1" x14ac:dyDescent="0.35">
      <c r="A44" s="138" t="s">
        <v>1943</v>
      </c>
      <c r="B44" s="146" t="s">
        <v>1944</v>
      </c>
      <c r="C44" s="146" t="s">
        <v>1945</v>
      </c>
      <c r="D44" s="139">
        <v>1245</v>
      </c>
      <c r="E44" s="140">
        <v>258.16000000000003</v>
      </c>
      <c r="F44" s="141">
        <v>1.7100000000000001E-2</v>
      </c>
      <c r="G44" s="141"/>
    </row>
    <row r="45" spans="1:7" s="137" customFormat="1" x14ac:dyDescent="0.35">
      <c r="A45" s="138" t="s">
        <v>1946</v>
      </c>
      <c r="B45" s="146" t="s">
        <v>1947</v>
      </c>
      <c r="C45" s="146" t="s">
        <v>1945</v>
      </c>
      <c r="D45" s="139">
        <v>3158</v>
      </c>
      <c r="E45" s="140">
        <v>257.44</v>
      </c>
      <c r="F45" s="141">
        <v>1.7000000000000001E-2</v>
      </c>
      <c r="G45" s="141"/>
    </row>
    <row r="46" spans="1:7" s="137" customFormat="1" x14ac:dyDescent="0.35">
      <c r="A46" s="138" t="s">
        <v>1948</v>
      </c>
      <c r="B46" s="146" t="s">
        <v>1949</v>
      </c>
      <c r="C46" s="146" t="s">
        <v>1935</v>
      </c>
      <c r="D46" s="139">
        <v>964</v>
      </c>
      <c r="E46" s="140">
        <v>214.73</v>
      </c>
      <c r="F46" s="141">
        <v>1.4200000000000001E-2</v>
      </c>
      <c r="G46" s="141"/>
    </row>
    <row r="47" spans="1:7" s="137" customFormat="1" x14ac:dyDescent="0.35">
      <c r="A47" s="138" t="s">
        <v>1950</v>
      </c>
      <c r="B47" s="146" t="s">
        <v>1951</v>
      </c>
      <c r="C47" s="146" t="s">
        <v>1945</v>
      </c>
      <c r="D47" s="139">
        <v>2400</v>
      </c>
      <c r="E47" s="140">
        <v>172.71</v>
      </c>
      <c r="F47" s="141">
        <v>1.14E-2</v>
      </c>
      <c r="G47" s="141"/>
    </row>
    <row r="48" spans="1:7" s="137" customFormat="1" x14ac:dyDescent="0.35">
      <c r="A48" s="138" t="s">
        <v>1952</v>
      </c>
      <c r="B48" s="146" t="s">
        <v>1953</v>
      </c>
      <c r="C48" s="146" t="s">
        <v>1935</v>
      </c>
      <c r="D48" s="139">
        <v>2261</v>
      </c>
      <c r="E48" s="140">
        <v>146.16</v>
      </c>
      <c r="F48" s="141">
        <v>9.7000000000000003E-3</v>
      </c>
      <c r="G48" s="141"/>
    </row>
    <row r="49" spans="1:7" s="137" customFormat="1" x14ac:dyDescent="0.35">
      <c r="A49" s="138" t="s">
        <v>1954</v>
      </c>
      <c r="B49" s="146" t="s">
        <v>1955</v>
      </c>
      <c r="C49" s="146" t="s">
        <v>1945</v>
      </c>
      <c r="D49" s="139">
        <v>647</v>
      </c>
      <c r="E49" s="140">
        <v>131.38999999999999</v>
      </c>
      <c r="F49" s="141">
        <v>8.6999999999999994E-3</v>
      </c>
      <c r="G49" s="141"/>
    </row>
    <row r="50" spans="1:7" s="137" customFormat="1" x14ac:dyDescent="0.35">
      <c r="A50" s="138" t="s">
        <v>1956</v>
      </c>
      <c r="B50" s="146" t="s">
        <v>1957</v>
      </c>
      <c r="C50" s="146" t="s">
        <v>1935</v>
      </c>
      <c r="D50" s="139">
        <v>461</v>
      </c>
      <c r="E50" s="140">
        <v>118.51</v>
      </c>
      <c r="F50" s="141">
        <v>7.7999999999999996E-3</v>
      </c>
      <c r="G50" s="141"/>
    </row>
    <row r="51" spans="1:7" s="137" customFormat="1" x14ac:dyDescent="0.35">
      <c r="A51" s="138" t="s">
        <v>1960</v>
      </c>
      <c r="B51" s="146" t="s">
        <v>1961</v>
      </c>
      <c r="C51" s="146" t="s">
        <v>1945</v>
      </c>
      <c r="D51" s="139">
        <v>615</v>
      </c>
      <c r="E51" s="140">
        <v>116.16</v>
      </c>
      <c r="F51" s="141">
        <v>7.7000000000000002E-3</v>
      </c>
      <c r="G51" s="141"/>
    </row>
    <row r="52" spans="1:7" s="137" customFormat="1" x14ac:dyDescent="0.35">
      <c r="A52" s="138" t="s">
        <v>1962</v>
      </c>
      <c r="B52" s="146" t="s">
        <v>1963</v>
      </c>
      <c r="C52" s="146" t="s">
        <v>1945</v>
      </c>
      <c r="D52" s="139">
        <v>515</v>
      </c>
      <c r="E52" s="140">
        <v>100.13</v>
      </c>
      <c r="F52" s="141">
        <v>6.6E-3</v>
      </c>
      <c r="G52" s="141"/>
    </row>
    <row r="53" spans="1:7" s="137" customFormat="1" x14ac:dyDescent="0.35">
      <c r="A53" s="138" t="s">
        <v>1964</v>
      </c>
      <c r="B53" s="146" t="s">
        <v>1965</v>
      </c>
      <c r="C53" s="146" t="s">
        <v>1966</v>
      </c>
      <c r="D53" s="139">
        <v>610</v>
      </c>
      <c r="E53" s="140">
        <v>75.56</v>
      </c>
      <c r="F53" s="141">
        <v>5.0000000000000001E-3</v>
      </c>
      <c r="G53" s="141"/>
    </row>
    <row r="54" spans="1:7" s="137" customFormat="1" x14ac:dyDescent="0.35">
      <c r="A54" s="138" t="s">
        <v>1967</v>
      </c>
      <c r="B54" s="146" t="s">
        <v>1968</v>
      </c>
      <c r="C54" s="146" t="s">
        <v>1940</v>
      </c>
      <c r="D54" s="139">
        <v>540</v>
      </c>
      <c r="E54" s="140">
        <v>61.56</v>
      </c>
      <c r="F54" s="141">
        <v>4.1000000000000003E-3</v>
      </c>
      <c r="G54" s="141"/>
    </row>
    <row r="55" spans="1:7" s="137" customFormat="1" x14ac:dyDescent="0.35">
      <c r="A55" s="138" t="s">
        <v>1969</v>
      </c>
      <c r="B55" s="146" t="s">
        <v>1970</v>
      </c>
      <c r="C55" s="146" t="s">
        <v>1940</v>
      </c>
      <c r="D55" s="139">
        <v>342</v>
      </c>
      <c r="E55" s="140">
        <v>59.08</v>
      </c>
      <c r="F55" s="141">
        <v>3.8999999999999998E-3</v>
      </c>
      <c r="G55" s="141"/>
    </row>
    <row r="56" spans="1:7" s="137" customFormat="1" x14ac:dyDescent="0.35">
      <c r="A56" s="138" t="s">
        <v>1971</v>
      </c>
      <c r="B56" s="146" t="s">
        <v>1972</v>
      </c>
      <c r="C56" s="146" t="s">
        <v>1940</v>
      </c>
      <c r="D56" s="139">
        <v>283</v>
      </c>
      <c r="E56" s="140">
        <v>53.35</v>
      </c>
      <c r="F56" s="141">
        <v>3.5000000000000001E-3</v>
      </c>
      <c r="G56" s="141"/>
    </row>
    <row r="57" spans="1:7" s="137" customFormat="1" x14ac:dyDescent="0.35">
      <c r="A57" s="142"/>
      <c r="B57" s="146"/>
      <c r="C57" s="146"/>
      <c r="D57" s="139"/>
      <c r="E57" s="139"/>
      <c r="F57" s="139"/>
      <c r="G57" s="141"/>
    </row>
    <row r="58" spans="1:7" s="137" customFormat="1" x14ac:dyDescent="0.35">
      <c r="A58" s="142" t="s">
        <v>102</v>
      </c>
      <c r="B58" s="146"/>
      <c r="C58" s="146"/>
      <c r="D58" s="139"/>
      <c r="E58" s="143">
        <f>SUM(E37:E57)</f>
        <v>4592.7100000000009</v>
      </c>
      <c r="F58" s="144">
        <f>SUM(F37:F57)</f>
        <v>0.30359999999999998</v>
      </c>
      <c r="G58" s="141"/>
    </row>
    <row r="59" spans="1:7" s="137" customFormat="1" x14ac:dyDescent="0.35">
      <c r="A59" s="142"/>
      <c r="B59" s="146"/>
      <c r="C59" s="146"/>
      <c r="D59" s="139"/>
      <c r="E59" s="147"/>
      <c r="F59" s="148"/>
      <c r="G59" s="141"/>
    </row>
    <row r="60" spans="1:7" x14ac:dyDescent="0.35">
      <c r="A60" s="21" t="s">
        <v>129</v>
      </c>
      <c r="B60" s="32"/>
      <c r="C60" s="32"/>
      <c r="D60" s="22"/>
      <c r="E60" s="27">
        <v>15042.81</v>
      </c>
      <c r="F60" s="28">
        <v>0.99450000000000005</v>
      </c>
      <c r="G60" s="20"/>
    </row>
    <row r="61" spans="1:7" x14ac:dyDescent="0.35">
      <c r="A61" s="12"/>
      <c r="B61" s="30"/>
      <c r="C61" s="30"/>
      <c r="D61" s="13"/>
      <c r="E61" s="14"/>
      <c r="F61" s="15"/>
      <c r="G61" s="15"/>
    </row>
    <row r="62" spans="1:7" x14ac:dyDescent="0.35">
      <c r="A62" s="12"/>
      <c r="B62" s="30"/>
      <c r="C62" s="30"/>
      <c r="D62" s="13"/>
      <c r="E62" s="14"/>
      <c r="F62" s="15"/>
      <c r="G62" s="15"/>
    </row>
    <row r="63" spans="1:7" x14ac:dyDescent="0.35">
      <c r="A63" s="16" t="s">
        <v>130</v>
      </c>
      <c r="B63" s="30"/>
      <c r="C63" s="30"/>
      <c r="D63" s="13"/>
      <c r="E63" s="14"/>
      <c r="F63" s="15"/>
      <c r="G63" s="15"/>
    </row>
    <row r="64" spans="1:7" x14ac:dyDescent="0.35">
      <c r="A64" s="12" t="s">
        <v>131</v>
      </c>
      <c r="B64" s="30"/>
      <c r="C64" s="30"/>
      <c r="D64" s="13"/>
      <c r="E64" s="14">
        <v>12</v>
      </c>
      <c r="F64" s="15">
        <v>8.0000000000000004E-4</v>
      </c>
      <c r="G64" s="129">
        <v>6.1074000000000003E-2</v>
      </c>
    </row>
    <row r="65" spans="1:7" x14ac:dyDescent="0.35">
      <c r="A65" s="16" t="s">
        <v>102</v>
      </c>
      <c r="B65" s="31"/>
      <c r="C65" s="31"/>
      <c r="D65" s="17"/>
      <c r="E65" s="37">
        <v>12</v>
      </c>
      <c r="F65" s="38">
        <v>8.0000000000000004E-4</v>
      </c>
      <c r="G65" s="130"/>
    </row>
    <row r="66" spans="1:7" x14ac:dyDescent="0.35">
      <c r="A66" s="12"/>
      <c r="B66" s="30"/>
      <c r="C66" s="30"/>
      <c r="D66" s="13"/>
      <c r="E66" s="14"/>
      <c r="F66" s="15"/>
      <c r="G66" s="129"/>
    </row>
    <row r="67" spans="1:7" x14ac:dyDescent="0.35">
      <c r="A67" s="21" t="s">
        <v>129</v>
      </c>
      <c r="B67" s="32"/>
      <c r="C67" s="32"/>
      <c r="D67" s="22"/>
      <c r="E67" s="18">
        <v>12</v>
      </c>
      <c r="F67" s="19">
        <v>8.0000000000000004E-4</v>
      </c>
      <c r="G67" s="130"/>
    </row>
    <row r="68" spans="1:7" x14ac:dyDescent="0.35">
      <c r="A68" s="12" t="s">
        <v>132</v>
      </c>
      <c r="B68" s="30"/>
      <c r="C68" s="30"/>
      <c r="D68" s="13"/>
      <c r="E68" s="14">
        <v>2.0076E-3</v>
      </c>
      <c r="F68" s="15">
        <v>0</v>
      </c>
      <c r="G68" s="129"/>
    </row>
    <row r="69" spans="1:7" x14ac:dyDescent="0.35">
      <c r="A69" s="12" t="s">
        <v>133</v>
      </c>
      <c r="B69" s="30"/>
      <c r="C69" s="30"/>
      <c r="D69" s="13"/>
      <c r="E69" s="14">
        <v>72.927992399999994</v>
      </c>
      <c r="F69" s="15">
        <v>4.7000000000000002E-3</v>
      </c>
      <c r="G69" s="129">
        <v>6.1074000000000003E-2</v>
      </c>
    </row>
    <row r="70" spans="1:7" x14ac:dyDescent="0.35">
      <c r="A70" s="25" t="s">
        <v>134</v>
      </c>
      <c r="B70" s="33"/>
      <c r="C70" s="33"/>
      <c r="D70" s="26"/>
      <c r="E70" s="27">
        <v>15127.74</v>
      </c>
      <c r="F70" s="28">
        <v>1</v>
      </c>
      <c r="G70" s="28"/>
    </row>
    <row r="75" spans="1:7" x14ac:dyDescent="0.35">
      <c r="A75" s="1" t="s">
        <v>1981</v>
      </c>
    </row>
    <row r="76" spans="1:7" x14ac:dyDescent="0.35">
      <c r="A76" s="47" t="s">
        <v>1982</v>
      </c>
      <c r="B76" s="34" t="s">
        <v>96</v>
      </c>
    </row>
    <row r="77" spans="1:7" x14ac:dyDescent="0.35">
      <c r="A77" t="s">
        <v>1983</v>
      </c>
    </row>
    <row r="78" spans="1:7" x14ac:dyDescent="0.35">
      <c r="A78" t="s">
        <v>1984</v>
      </c>
      <c r="B78" t="s">
        <v>1985</v>
      </c>
      <c r="C78" t="s">
        <v>1985</v>
      </c>
    </row>
    <row r="79" spans="1:7" x14ac:dyDescent="0.35">
      <c r="B79" s="48">
        <v>44834</v>
      </c>
      <c r="C79" s="48">
        <v>44865</v>
      </c>
    </row>
    <row r="80" spans="1:7" x14ac:dyDescent="0.35">
      <c r="A80" t="s">
        <v>1989</v>
      </c>
      <c r="B80">
        <v>12.031599999999999</v>
      </c>
      <c r="C80">
        <v>12.6449</v>
      </c>
      <c r="E80" s="2"/>
      <c r="G80"/>
    </row>
    <row r="81" spans="1:7" x14ac:dyDescent="0.35">
      <c r="A81" t="s">
        <v>1990</v>
      </c>
      <c r="B81">
        <v>12.031599999999999</v>
      </c>
      <c r="C81">
        <v>12.6449</v>
      </c>
      <c r="E81" s="2"/>
      <c r="G81"/>
    </row>
    <row r="82" spans="1:7" x14ac:dyDescent="0.35">
      <c r="A82" t="s">
        <v>2014</v>
      </c>
      <c r="B82">
        <v>11.8931</v>
      </c>
      <c r="C82">
        <v>12.4932</v>
      </c>
      <c r="E82" s="2"/>
      <c r="G82"/>
    </row>
    <row r="83" spans="1:7" x14ac:dyDescent="0.35">
      <c r="A83" t="s">
        <v>2015</v>
      </c>
      <c r="B83">
        <v>11.8931</v>
      </c>
      <c r="C83">
        <v>12.4932</v>
      </c>
      <c r="E83" s="2"/>
      <c r="G83"/>
    </row>
    <row r="84" spans="1:7" x14ac:dyDescent="0.35">
      <c r="E84" s="2"/>
      <c r="G84"/>
    </row>
    <row r="85" spans="1:7" x14ac:dyDescent="0.35">
      <c r="A85" t="s">
        <v>2000</v>
      </c>
      <c r="B85" s="34" t="s">
        <v>96</v>
      </c>
    </row>
    <row r="86" spans="1:7" x14ac:dyDescent="0.35">
      <c r="A86" t="s">
        <v>2001</v>
      </c>
      <c r="B86" s="34" t="s">
        <v>96</v>
      </c>
    </row>
    <row r="87" spans="1:7" ht="29" x14ac:dyDescent="0.35">
      <c r="A87" s="47" t="s">
        <v>2002</v>
      </c>
      <c r="B87" s="34" t="s">
        <v>96</v>
      </c>
    </row>
    <row r="88" spans="1:7" ht="29" x14ac:dyDescent="0.35">
      <c r="A88" s="47" t="s">
        <v>2003</v>
      </c>
      <c r="B88" s="49">
        <f>E58</f>
        <v>4592.7100000000009</v>
      </c>
    </row>
    <row r="89" spans="1:7" ht="29" x14ac:dyDescent="0.35">
      <c r="A89" s="47" t="s">
        <v>2055</v>
      </c>
      <c r="B89" s="34" t="s">
        <v>96</v>
      </c>
    </row>
    <row r="90" spans="1:7" ht="29" x14ac:dyDescent="0.35">
      <c r="A90" s="47" t="s">
        <v>2056</v>
      </c>
      <c r="B90" s="34" t="s">
        <v>96</v>
      </c>
    </row>
    <row r="91" spans="1:7" x14ac:dyDescent="0.35">
      <c r="A91" s="137" t="s">
        <v>2137</v>
      </c>
      <c r="B91" s="34" t="s">
        <v>96</v>
      </c>
    </row>
    <row r="92" spans="1:7" x14ac:dyDescent="0.35">
      <c r="A92" s="137" t="s">
        <v>2138</v>
      </c>
      <c r="B92" s="34" t="s">
        <v>96</v>
      </c>
    </row>
    <row r="93" spans="1:7" x14ac:dyDescent="0.35">
      <c r="A93" s="47"/>
      <c r="B93" s="34"/>
    </row>
    <row r="94" spans="1:7" x14ac:dyDescent="0.35">
      <c r="A94" s="47"/>
      <c r="B94" s="34"/>
    </row>
    <row r="95" spans="1:7" ht="29" x14ac:dyDescent="0.35">
      <c r="A95" s="376" t="s">
        <v>2154</v>
      </c>
      <c r="B95" s="377" t="s">
        <v>2155</v>
      </c>
      <c r="C95" s="377" t="s">
        <v>2156</v>
      </c>
      <c r="D95" s="381" t="s">
        <v>2157</v>
      </c>
    </row>
    <row r="96" spans="1:7" ht="70" customHeight="1" x14ac:dyDescent="0.35">
      <c r="A96" s="380" t="s">
        <v>2221</v>
      </c>
      <c r="B96" s="378"/>
      <c r="C96" s="379" t="s">
        <v>2222</v>
      </c>
      <c r="D96" s="37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698E2-7212-417D-AC06-D77620BE079A}">
  <dimension ref="A1:H44"/>
  <sheetViews>
    <sheetView showGridLines="0" workbookViewId="0">
      <pane ySplit="4" topLeftCell="A41" activePane="bottomLeft" state="frozen"/>
      <selection activeCell="A2" sqref="A2:XFD2"/>
      <selection pane="bottomLeft" activeCell="D44" sqref="D44"/>
    </sheetView>
  </sheetViews>
  <sheetFormatPr defaultRowHeight="14.5" x14ac:dyDescent="0.35"/>
  <cols>
    <col min="1" max="1" width="55.7265625" customWidth="1"/>
    <col min="2" max="2" width="21.90625" customWidth="1"/>
    <col min="3" max="3" width="26.6328125" customWidth="1"/>
    <col min="4" max="4" width="21.5429687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87</v>
      </c>
      <c r="B1" s="151"/>
      <c r="C1" s="151"/>
      <c r="D1" s="151"/>
      <c r="E1" s="151"/>
      <c r="F1" s="151"/>
      <c r="G1" s="151"/>
      <c r="H1" s="50" t="str">
        <f>HYPERLINK("[EDEL_Portfolio Monthly Notes 31-Oct-2022.xlsx]Index!A1","Index")</f>
        <v>Index</v>
      </c>
    </row>
    <row r="2" spans="1:8" ht="31" customHeight="1" x14ac:dyDescent="0.35">
      <c r="A2" s="151" t="s">
        <v>88</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1920</v>
      </c>
      <c r="B7" s="30"/>
      <c r="C7" s="30"/>
      <c r="D7" s="13"/>
      <c r="E7" s="14"/>
      <c r="F7" s="15"/>
      <c r="G7" s="15"/>
    </row>
    <row r="8" spans="1:8" x14ac:dyDescent="0.35">
      <c r="A8" s="16" t="s">
        <v>1921</v>
      </c>
      <c r="B8" s="31"/>
      <c r="C8" s="31"/>
      <c r="D8" s="17"/>
      <c r="E8" s="46"/>
      <c r="F8" s="20"/>
      <c r="G8" s="20"/>
    </row>
    <row r="9" spans="1:8" x14ac:dyDescent="0.35">
      <c r="A9" s="12" t="s">
        <v>1973</v>
      </c>
      <c r="B9" s="30" t="s">
        <v>1974</v>
      </c>
      <c r="C9" s="30"/>
      <c r="D9" s="13">
        <v>257226.03400000001</v>
      </c>
      <c r="E9" s="14">
        <v>7649.42</v>
      </c>
      <c r="F9" s="15">
        <v>0.97709999999999997</v>
      </c>
      <c r="G9" s="15"/>
    </row>
    <row r="10" spans="1:8" x14ac:dyDescent="0.35">
      <c r="A10" s="16" t="s">
        <v>102</v>
      </c>
      <c r="B10" s="31"/>
      <c r="C10" s="31"/>
      <c r="D10" s="17"/>
      <c r="E10" s="18">
        <v>7649.42</v>
      </c>
      <c r="F10" s="19">
        <v>0.97709999999999997</v>
      </c>
      <c r="G10" s="20"/>
    </row>
    <row r="11" spans="1:8" x14ac:dyDescent="0.35">
      <c r="A11" s="12"/>
      <c r="B11" s="30"/>
      <c r="C11" s="30"/>
      <c r="D11" s="13"/>
      <c r="E11" s="14"/>
      <c r="F11" s="15"/>
      <c r="G11" s="15"/>
    </row>
    <row r="12" spans="1:8" x14ac:dyDescent="0.35">
      <c r="A12" s="21" t="s">
        <v>129</v>
      </c>
      <c r="B12" s="32"/>
      <c r="C12" s="32"/>
      <c r="D12" s="22"/>
      <c r="E12" s="18">
        <v>7649.42</v>
      </c>
      <c r="F12" s="19">
        <v>0.97709999999999997</v>
      </c>
      <c r="G12" s="20"/>
    </row>
    <row r="13" spans="1:8" x14ac:dyDescent="0.35">
      <c r="A13" s="12"/>
      <c r="B13" s="30"/>
      <c r="C13" s="30"/>
      <c r="D13" s="13"/>
      <c r="E13" s="14"/>
      <c r="F13" s="15"/>
      <c r="G13" s="15"/>
    </row>
    <row r="14" spans="1:8" x14ac:dyDescent="0.35">
      <c r="A14" s="16" t="s">
        <v>130</v>
      </c>
      <c r="B14" s="30"/>
      <c r="C14" s="30"/>
      <c r="D14" s="13"/>
      <c r="E14" s="14"/>
      <c r="F14" s="15"/>
      <c r="G14" s="15"/>
    </row>
    <row r="15" spans="1:8" x14ac:dyDescent="0.35">
      <c r="A15" s="12" t="s">
        <v>131</v>
      </c>
      <c r="B15" s="30"/>
      <c r="C15" s="30"/>
      <c r="D15" s="13"/>
      <c r="E15" s="14">
        <v>196.97</v>
      </c>
      <c r="F15" s="15">
        <v>2.52E-2</v>
      </c>
      <c r="G15" s="131">
        <v>6.1074000000000003E-2</v>
      </c>
    </row>
    <row r="16" spans="1:8" x14ac:dyDescent="0.35">
      <c r="A16" s="16" t="s">
        <v>102</v>
      </c>
      <c r="B16" s="31"/>
      <c r="C16" s="31"/>
      <c r="D16" s="17"/>
      <c r="E16" s="18">
        <v>196.97</v>
      </c>
      <c r="F16" s="19">
        <v>2.52E-2</v>
      </c>
      <c r="G16" s="132"/>
    </row>
    <row r="17" spans="1:7" x14ac:dyDescent="0.35">
      <c r="A17" s="12"/>
      <c r="B17" s="30"/>
      <c r="C17" s="30"/>
      <c r="D17" s="13"/>
      <c r="E17" s="14"/>
      <c r="F17" s="15"/>
      <c r="G17" s="131"/>
    </row>
    <row r="18" spans="1:7" x14ac:dyDescent="0.35">
      <c r="A18" s="21" t="s">
        <v>129</v>
      </c>
      <c r="B18" s="32"/>
      <c r="C18" s="32"/>
      <c r="D18" s="22"/>
      <c r="E18" s="18">
        <v>196.97</v>
      </c>
      <c r="F18" s="19">
        <v>2.52E-2</v>
      </c>
      <c r="G18" s="132"/>
    </row>
    <row r="19" spans="1:7" x14ac:dyDescent="0.35">
      <c r="A19" s="12" t="s">
        <v>132</v>
      </c>
      <c r="B19" s="30"/>
      <c r="C19" s="30"/>
      <c r="D19" s="13"/>
      <c r="E19" s="14">
        <v>3.2957699999999999E-2</v>
      </c>
      <c r="F19" s="15">
        <v>3.9999999999999998E-6</v>
      </c>
      <c r="G19" s="131"/>
    </row>
    <row r="20" spans="1:7" x14ac:dyDescent="0.35">
      <c r="A20" s="12" t="s">
        <v>133</v>
      </c>
      <c r="B20" s="30"/>
      <c r="C20" s="30"/>
      <c r="D20" s="13"/>
      <c r="E20" s="23">
        <v>-17.622957700000001</v>
      </c>
      <c r="F20" s="24">
        <v>-2.3040000000000001E-3</v>
      </c>
      <c r="G20" s="131">
        <v>6.1074000000000003E-2</v>
      </c>
    </row>
    <row r="21" spans="1:7" x14ac:dyDescent="0.35">
      <c r="A21" s="25" t="s">
        <v>134</v>
      </c>
      <c r="B21" s="33"/>
      <c r="C21" s="33"/>
      <c r="D21" s="26"/>
      <c r="E21" s="27">
        <v>7828.8</v>
      </c>
      <c r="F21" s="28">
        <v>1</v>
      </c>
      <c r="G21" s="28"/>
    </row>
    <row r="26" spans="1:7" x14ac:dyDescent="0.35">
      <c r="A26" s="1" t="s">
        <v>1981</v>
      </c>
    </row>
    <row r="27" spans="1:7" x14ac:dyDescent="0.35">
      <c r="A27" s="47" t="s">
        <v>1982</v>
      </c>
      <c r="B27" s="34" t="s">
        <v>96</v>
      </c>
    </row>
    <row r="28" spans="1:7" x14ac:dyDescent="0.35">
      <c r="A28" t="s">
        <v>1983</v>
      </c>
    </row>
    <row r="29" spans="1:7" x14ac:dyDescent="0.35">
      <c r="A29" t="s">
        <v>1984</v>
      </c>
      <c r="B29" t="s">
        <v>1985</v>
      </c>
      <c r="C29" t="s">
        <v>1985</v>
      </c>
    </row>
    <row r="30" spans="1:7" x14ac:dyDescent="0.35">
      <c r="B30" s="48">
        <v>44834</v>
      </c>
      <c r="C30" s="48">
        <v>44865</v>
      </c>
    </row>
    <row r="31" spans="1:7" x14ac:dyDescent="0.35">
      <c r="A31" t="s">
        <v>1989</v>
      </c>
      <c r="B31">
        <v>13.4169</v>
      </c>
      <c r="C31">
        <v>14.6691</v>
      </c>
      <c r="E31" s="2"/>
      <c r="G31"/>
    </row>
    <row r="32" spans="1:7" x14ac:dyDescent="0.35">
      <c r="A32" t="s">
        <v>2014</v>
      </c>
      <c r="B32">
        <v>12.448399999999999</v>
      </c>
      <c r="C32">
        <v>13.6004</v>
      </c>
      <c r="E32" s="2"/>
      <c r="G32"/>
    </row>
    <row r="33" spans="1:7" x14ac:dyDescent="0.35">
      <c r="E33" s="2"/>
      <c r="G33"/>
    </row>
    <row r="34" spans="1:7" x14ac:dyDescent="0.35">
      <c r="A34" t="s">
        <v>2000</v>
      </c>
      <c r="B34" s="34" t="s">
        <v>96</v>
      </c>
    </row>
    <row r="35" spans="1:7" x14ac:dyDescent="0.35">
      <c r="A35" t="s">
        <v>2001</v>
      </c>
      <c r="B35" s="34" t="s">
        <v>96</v>
      </c>
    </row>
    <row r="36" spans="1:7" ht="29" x14ac:dyDescent="0.35">
      <c r="A36" s="47" t="s">
        <v>2002</v>
      </c>
      <c r="B36" s="34" t="s">
        <v>96</v>
      </c>
    </row>
    <row r="37" spans="1:7" ht="29" x14ac:dyDescent="0.35">
      <c r="A37" s="47" t="s">
        <v>2003</v>
      </c>
      <c r="B37" s="49">
        <v>7649.4154328000004</v>
      </c>
    </row>
    <row r="38" spans="1:7" ht="29" x14ac:dyDescent="0.35">
      <c r="A38" s="47" t="s">
        <v>2055</v>
      </c>
      <c r="B38" s="34" t="s">
        <v>96</v>
      </c>
    </row>
    <row r="39" spans="1:7" ht="29" x14ac:dyDescent="0.35">
      <c r="A39" s="47" t="s">
        <v>2056</v>
      </c>
      <c r="B39" s="34" t="s">
        <v>96</v>
      </c>
    </row>
    <row r="40" spans="1:7" x14ac:dyDescent="0.35">
      <c r="A40" s="47" t="s">
        <v>2137</v>
      </c>
      <c r="B40" s="34" t="s">
        <v>96</v>
      </c>
    </row>
    <row r="41" spans="1:7" ht="20.5" customHeight="1" x14ac:dyDescent="0.35">
      <c r="A41" s="47" t="s">
        <v>2138</v>
      </c>
      <c r="B41" s="34" t="s">
        <v>96</v>
      </c>
    </row>
    <row r="42" spans="1:7" x14ac:dyDescent="0.35">
      <c r="A42" s="47"/>
      <c r="B42" s="34"/>
    </row>
    <row r="43" spans="1:7" ht="29" x14ac:dyDescent="0.35">
      <c r="A43" s="382" t="s">
        <v>2154</v>
      </c>
      <c r="B43" s="383" t="s">
        <v>2155</v>
      </c>
      <c r="C43" s="383" t="s">
        <v>2156</v>
      </c>
      <c r="D43" s="387" t="s">
        <v>2157</v>
      </c>
    </row>
    <row r="44" spans="1:7" ht="69" customHeight="1" x14ac:dyDescent="0.35">
      <c r="A44" s="386" t="s">
        <v>2223</v>
      </c>
      <c r="B44" s="384"/>
      <c r="C44" s="385" t="s">
        <v>2224</v>
      </c>
      <c r="D44" s="384"/>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A8E6-65D9-4BB7-93E7-14515BF386F8}">
  <dimension ref="A1:H44"/>
  <sheetViews>
    <sheetView showGridLines="0" workbookViewId="0">
      <pane ySplit="4" topLeftCell="A42" activePane="bottomLeft" state="frozen"/>
      <selection activeCell="A2" sqref="A2:XFD2"/>
      <selection pane="bottomLeft" activeCell="C44" sqref="C44"/>
    </sheetView>
  </sheetViews>
  <sheetFormatPr defaultRowHeight="14.5" x14ac:dyDescent="0.35"/>
  <cols>
    <col min="1" max="1" width="55.453125" bestFit="1" customWidth="1"/>
    <col min="2" max="2" width="21.36328125" customWidth="1"/>
    <col min="3" max="3" width="26.6328125" customWidth="1"/>
    <col min="4" max="4" width="21.4531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89</v>
      </c>
      <c r="B1" s="151"/>
      <c r="C1" s="151"/>
      <c r="D1" s="151"/>
      <c r="E1" s="151"/>
      <c r="F1" s="151"/>
      <c r="G1" s="151"/>
      <c r="H1" s="50" t="str">
        <f>HYPERLINK("[EDEL_Portfolio Monthly Notes 31-Oct-2022.xlsx]Index!A1","Index")</f>
        <v>Index</v>
      </c>
    </row>
    <row r="2" spans="1:8" ht="31" customHeight="1" x14ac:dyDescent="0.35">
      <c r="A2" s="151" t="s">
        <v>90</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1920</v>
      </c>
      <c r="B7" s="30"/>
      <c r="C7" s="30"/>
      <c r="D7" s="13"/>
      <c r="E7" s="14"/>
      <c r="F7" s="15"/>
      <c r="G7" s="15"/>
    </row>
    <row r="8" spans="1:8" x14ac:dyDescent="0.35">
      <c r="A8" s="16" t="s">
        <v>1921</v>
      </c>
      <c r="B8" s="31"/>
      <c r="C8" s="31"/>
      <c r="D8" s="17"/>
      <c r="E8" s="46"/>
      <c r="F8" s="20"/>
      <c r="G8" s="20"/>
    </row>
    <row r="9" spans="1:8" x14ac:dyDescent="0.35">
      <c r="A9" s="12" t="s">
        <v>1975</v>
      </c>
      <c r="B9" s="30" t="s">
        <v>1976</v>
      </c>
      <c r="C9" s="30"/>
      <c r="D9" s="13">
        <v>119504.93330999999</v>
      </c>
      <c r="E9" s="14">
        <v>10740.47</v>
      </c>
      <c r="F9" s="15">
        <v>0.995</v>
      </c>
      <c r="G9" s="15"/>
    </row>
    <row r="10" spans="1:8" x14ac:dyDescent="0.35">
      <c r="A10" s="16" t="s">
        <v>102</v>
      </c>
      <c r="B10" s="31"/>
      <c r="C10" s="31"/>
      <c r="D10" s="17"/>
      <c r="E10" s="18">
        <v>10740.47</v>
      </c>
      <c r="F10" s="19">
        <v>0.995</v>
      </c>
      <c r="G10" s="20"/>
    </row>
    <row r="11" spans="1:8" x14ac:dyDescent="0.35">
      <c r="A11" s="12"/>
      <c r="B11" s="30"/>
      <c r="C11" s="30"/>
      <c r="D11" s="13"/>
      <c r="E11" s="14"/>
      <c r="F11" s="15"/>
      <c r="G11" s="15"/>
    </row>
    <row r="12" spans="1:8" x14ac:dyDescent="0.35">
      <c r="A12" s="21" t="s">
        <v>129</v>
      </c>
      <c r="B12" s="32"/>
      <c r="C12" s="32"/>
      <c r="D12" s="22"/>
      <c r="E12" s="18">
        <v>10740.47</v>
      </c>
      <c r="F12" s="19">
        <v>0.995</v>
      </c>
      <c r="G12" s="20"/>
    </row>
    <row r="13" spans="1:8" x14ac:dyDescent="0.35">
      <c r="A13" s="12"/>
      <c r="B13" s="30"/>
      <c r="C13" s="30"/>
      <c r="D13" s="13"/>
      <c r="E13" s="14"/>
      <c r="F13" s="15"/>
      <c r="G13" s="15"/>
    </row>
    <row r="14" spans="1:8" x14ac:dyDescent="0.35">
      <c r="A14" s="16" t="s">
        <v>130</v>
      </c>
      <c r="B14" s="30"/>
      <c r="C14" s="30"/>
      <c r="D14" s="13"/>
      <c r="E14" s="14"/>
      <c r="F14" s="15"/>
      <c r="G14" s="15"/>
    </row>
    <row r="15" spans="1:8" x14ac:dyDescent="0.35">
      <c r="A15" s="12" t="s">
        <v>131</v>
      </c>
      <c r="B15" s="30"/>
      <c r="C15" s="30"/>
      <c r="D15" s="13"/>
      <c r="E15" s="14">
        <v>71.989999999999995</v>
      </c>
      <c r="F15" s="15">
        <v>6.7000000000000002E-3</v>
      </c>
      <c r="G15" s="133">
        <v>6.1074000000000003E-2</v>
      </c>
    </row>
    <row r="16" spans="1:8" x14ac:dyDescent="0.35">
      <c r="A16" s="16" t="s">
        <v>102</v>
      </c>
      <c r="B16" s="31"/>
      <c r="C16" s="31"/>
      <c r="D16" s="17"/>
      <c r="E16" s="18">
        <v>71.989999999999995</v>
      </c>
      <c r="F16" s="19">
        <v>6.7000000000000002E-3</v>
      </c>
      <c r="G16" s="134"/>
    </row>
    <row r="17" spans="1:7" x14ac:dyDescent="0.35">
      <c r="A17" s="12"/>
      <c r="B17" s="30"/>
      <c r="C17" s="30"/>
      <c r="D17" s="13"/>
      <c r="E17" s="14"/>
      <c r="F17" s="15"/>
      <c r="G17" s="133"/>
    </row>
    <row r="18" spans="1:7" x14ac:dyDescent="0.35">
      <c r="A18" s="21" t="s">
        <v>129</v>
      </c>
      <c r="B18" s="32"/>
      <c r="C18" s="32"/>
      <c r="D18" s="22"/>
      <c r="E18" s="18">
        <v>71.989999999999995</v>
      </c>
      <c r="F18" s="19">
        <v>6.7000000000000002E-3</v>
      </c>
      <c r="G18" s="134"/>
    </row>
    <row r="19" spans="1:7" x14ac:dyDescent="0.35">
      <c r="A19" s="12" t="s">
        <v>132</v>
      </c>
      <c r="B19" s="30"/>
      <c r="C19" s="30"/>
      <c r="D19" s="13"/>
      <c r="E19" s="14">
        <v>1.2045500000000001E-2</v>
      </c>
      <c r="F19" s="15">
        <v>9.9999999999999995E-7</v>
      </c>
      <c r="G19" s="133"/>
    </row>
    <row r="20" spans="1:7" x14ac:dyDescent="0.35">
      <c r="A20" s="12" t="s">
        <v>133</v>
      </c>
      <c r="B20" s="30"/>
      <c r="C20" s="30"/>
      <c r="D20" s="13"/>
      <c r="E20" s="23">
        <v>-18.5420455</v>
      </c>
      <c r="F20" s="24">
        <v>-1.701E-3</v>
      </c>
      <c r="G20" s="133">
        <v>6.1074000000000003E-2</v>
      </c>
    </row>
    <row r="21" spans="1:7" x14ac:dyDescent="0.35">
      <c r="A21" s="25" t="s">
        <v>134</v>
      </c>
      <c r="B21" s="33"/>
      <c r="C21" s="33"/>
      <c r="D21" s="26"/>
      <c r="E21" s="27">
        <v>10793.93</v>
      </c>
      <c r="F21" s="28">
        <v>1</v>
      </c>
      <c r="G21" s="28"/>
    </row>
    <row r="26" spans="1:7" x14ac:dyDescent="0.35">
      <c r="A26" s="1" t="s">
        <v>1981</v>
      </c>
    </row>
    <row r="27" spans="1:7" x14ac:dyDescent="0.35">
      <c r="A27" s="47" t="s">
        <v>1982</v>
      </c>
      <c r="B27" s="34" t="s">
        <v>96</v>
      </c>
    </row>
    <row r="28" spans="1:7" x14ac:dyDescent="0.35">
      <c r="A28" t="s">
        <v>1983</v>
      </c>
    </row>
    <row r="29" spans="1:7" x14ac:dyDescent="0.35">
      <c r="A29" t="s">
        <v>1984</v>
      </c>
      <c r="B29" t="s">
        <v>1985</v>
      </c>
      <c r="C29" t="s">
        <v>1985</v>
      </c>
    </row>
    <row r="30" spans="1:7" x14ac:dyDescent="0.35">
      <c r="B30" s="48">
        <v>44834</v>
      </c>
      <c r="C30" s="48">
        <v>44865</v>
      </c>
    </row>
    <row r="31" spans="1:7" x14ac:dyDescent="0.35">
      <c r="A31" t="s">
        <v>1989</v>
      </c>
      <c r="B31">
        <v>12.715999999999999</v>
      </c>
      <c r="C31">
        <v>12.487</v>
      </c>
      <c r="E31" s="2"/>
      <c r="G31"/>
    </row>
    <row r="32" spans="1:7" x14ac:dyDescent="0.35">
      <c r="A32" t="s">
        <v>2014</v>
      </c>
      <c r="B32">
        <v>11.994199999999999</v>
      </c>
      <c r="C32">
        <v>11.7692</v>
      </c>
      <c r="E32" s="2"/>
      <c r="G32"/>
    </row>
    <row r="33" spans="1:7" x14ac:dyDescent="0.35">
      <c r="E33" s="2"/>
      <c r="G33"/>
    </row>
    <row r="34" spans="1:7" x14ac:dyDescent="0.35">
      <c r="A34" t="s">
        <v>2000</v>
      </c>
      <c r="B34" s="34" t="s">
        <v>96</v>
      </c>
    </row>
    <row r="35" spans="1:7" x14ac:dyDescent="0.35">
      <c r="A35" t="s">
        <v>2001</v>
      </c>
      <c r="B35" s="34" t="s">
        <v>96</v>
      </c>
    </row>
    <row r="36" spans="1:7" ht="29" x14ac:dyDescent="0.35">
      <c r="A36" s="47" t="s">
        <v>2002</v>
      </c>
      <c r="B36" s="34" t="s">
        <v>96</v>
      </c>
    </row>
    <row r="37" spans="1:7" ht="29" x14ac:dyDescent="0.35">
      <c r="A37" s="47" t="s">
        <v>2003</v>
      </c>
      <c r="B37" s="49">
        <v>10740.4725096</v>
      </c>
    </row>
    <row r="38" spans="1:7" ht="43.5" x14ac:dyDescent="0.35">
      <c r="A38" s="47" t="s">
        <v>2055</v>
      </c>
      <c r="B38" s="34" t="s">
        <v>96</v>
      </c>
    </row>
    <row r="39" spans="1:7" ht="29" x14ac:dyDescent="0.35">
      <c r="A39" s="47" t="s">
        <v>2056</v>
      </c>
      <c r="B39" s="34" t="s">
        <v>96</v>
      </c>
    </row>
    <row r="40" spans="1:7" ht="29" x14ac:dyDescent="0.35">
      <c r="A40" s="47" t="s">
        <v>2057</v>
      </c>
      <c r="B40" s="34" t="s">
        <v>96</v>
      </c>
    </row>
    <row r="41" spans="1:7" ht="29" x14ac:dyDescent="0.35">
      <c r="A41" s="47" t="s">
        <v>2139</v>
      </c>
      <c r="B41" s="34" t="s">
        <v>96</v>
      </c>
    </row>
    <row r="42" spans="1:7" x14ac:dyDescent="0.35">
      <c r="A42" s="47"/>
      <c r="B42" s="34"/>
    </row>
    <row r="43" spans="1:7" ht="29" x14ac:dyDescent="0.35">
      <c r="A43" s="388" t="s">
        <v>2154</v>
      </c>
      <c r="B43" s="389" t="s">
        <v>2155</v>
      </c>
      <c r="C43" s="389" t="s">
        <v>2156</v>
      </c>
      <c r="D43" s="393" t="s">
        <v>2157</v>
      </c>
    </row>
    <row r="44" spans="1:7" ht="71" customHeight="1" x14ac:dyDescent="0.35">
      <c r="A44" s="392" t="s">
        <v>2225</v>
      </c>
      <c r="B44" s="390"/>
      <c r="C44" s="391" t="s">
        <v>2226</v>
      </c>
      <c r="D44" s="390"/>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DB8D-521F-45FF-AD12-27D317B1770D}">
  <dimension ref="A1:H44"/>
  <sheetViews>
    <sheetView showGridLines="0" workbookViewId="0">
      <pane ySplit="4" topLeftCell="A42" activePane="bottomLeft" state="frozen"/>
      <selection activeCell="A2" sqref="A2:XFD2"/>
      <selection pane="bottomLeft" activeCell="C44" sqref="C44"/>
    </sheetView>
  </sheetViews>
  <sheetFormatPr defaultRowHeight="14.5" x14ac:dyDescent="0.35"/>
  <cols>
    <col min="1" max="1" width="50.453125" customWidth="1"/>
    <col min="2" max="2" width="21.81640625" customWidth="1"/>
    <col min="3" max="3" width="26.6328125" customWidth="1"/>
    <col min="4" max="4" width="21.9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91</v>
      </c>
      <c r="B1" s="151"/>
      <c r="C1" s="151"/>
      <c r="D1" s="151"/>
      <c r="E1" s="151"/>
      <c r="F1" s="151"/>
      <c r="G1" s="151"/>
      <c r="H1" s="50" t="str">
        <f>HYPERLINK("[EDEL_Portfolio Monthly Notes 31-Oct-2022.xlsx]Index!A1","Index")</f>
        <v>Index</v>
      </c>
    </row>
    <row r="2" spans="1:8" ht="31" customHeight="1" x14ac:dyDescent="0.35">
      <c r="A2" s="151" t="s">
        <v>92</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1920</v>
      </c>
      <c r="B7" s="30"/>
      <c r="C7" s="30"/>
      <c r="D7" s="13"/>
      <c r="E7" s="14"/>
      <c r="F7" s="15"/>
      <c r="G7" s="15"/>
    </row>
    <row r="8" spans="1:8" x14ac:dyDescent="0.35">
      <c r="A8" s="16" t="s">
        <v>1921</v>
      </c>
      <c r="B8" s="31"/>
      <c r="C8" s="31"/>
      <c r="D8" s="17"/>
      <c r="E8" s="46"/>
      <c r="F8" s="20"/>
      <c r="G8" s="20"/>
    </row>
    <row r="9" spans="1:8" x14ac:dyDescent="0.35">
      <c r="A9" s="12" t="s">
        <v>1977</v>
      </c>
      <c r="B9" s="30" t="s">
        <v>1978</v>
      </c>
      <c r="C9" s="30"/>
      <c r="D9" s="13">
        <v>33990.067999999999</v>
      </c>
      <c r="E9" s="14">
        <v>8322.98</v>
      </c>
      <c r="F9" s="15">
        <v>0.98950000000000005</v>
      </c>
      <c r="G9" s="15"/>
    </row>
    <row r="10" spans="1:8" x14ac:dyDescent="0.35">
      <c r="A10" s="16" t="s">
        <v>102</v>
      </c>
      <c r="B10" s="31"/>
      <c r="C10" s="31"/>
      <c r="D10" s="17"/>
      <c r="E10" s="18">
        <v>8322.98</v>
      </c>
      <c r="F10" s="19">
        <v>0.98950000000000005</v>
      </c>
      <c r="G10" s="20"/>
    </row>
    <row r="11" spans="1:8" x14ac:dyDescent="0.35">
      <c r="A11" s="12"/>
      <c r="B11" s="30"/>
      <c r="C11" s="30"/>
      <c r="D11" s="13"/>
      <c r="E11" s="14"/>
      <c r="F11" s="15"/>
      <c r="G11" s="15"/>
    </row>
    <row r="12" spans="1:8" x14ac:dyDescent="0.35">
      <c r="A12" s="21" t="s">
        <v>129</v>
      </c>
      <c r="B12" s="32"/>
      <c r="C12" s="32"/>
      <c r="D12" s="22"/>
      <c r="E12" s="18">
        <v>8322.98</v>
      </c>
      <c r="F12" s="19">
        <v>0.98950000000000005</v>
      </c>
      <c r="G12" s="20"/>
    </row>
    <row r="13" spans="1:8" x14ac:dyDescent="0.35">
      <c r="A13" s="12"/>
      <c r="B13" s="30"/>
      <c r="C13" s="30"/>
      <c r="D13" s="13"/>
      <c r="E13" s="14"/>
      <c r="F13" s="15"/>
      <c r="G13" s="15"/>
    </row>
    <row r="14" spans="1:8" x14ac:dyDescent="0.35">
      <c r="A14" s="16" t="s">
        <v>130</v>
      </c>
      <c r="B14" s="30"/>
      <c r="C14" s="30"/>
      <c r="D14" s="13"/>
      <c r="E14" s="14"/>
      <c r="F14" s="15"/>
      <c r="G14" s="15"/>
    </row>
    <row r="15" spans="1:8" x14ac:dyDescent="0.35">
      <c r="A15" s="12" t="s">
        <v>131</v>
      </c>
      <c r="B15" s="30"/>
      <c r="C15" s="30"/>
      <c r="D15" s="13"/>
      <c r="E15" s="14">
        <v>90.98</v>
      </c>
      <c r="F15" s="15">
        <v>1.0800000000000001E-2</v>
      </c>
      <c r="G15" s="135">
        <v>6.1074000000000003E-2</v>
      </c>
    </row>
    <row r="16" spans="1:8" x14ac:dyDescent="0.35">
      <c r="A16" s="16" t="s">
        <v>102</v>
      </c>
      <c r="B16" s="31"/>
      <c r="C16" s="31"/>
      <c r="D16" s="17"/>
      <c r="E16" s="18">
        <v>90.98</v>
      </c>
      <c r="F16" s="19">
        <v>1.0800000000000001E-2</v>
      </c>
      <c r="G16" s="136"/>
    </row>
    <row r="17" spans="1:7" x14ac:dyDescent="0.35">
      <c r="A17" s="12"/>
      <c r="B17" s="30"/>
      <c r="C17" s="30"/>
      <c r="D17" s="13"/>
      <c r="E17" s="14"/>
      <c r="F17" s="15"/>
      <c r="G17" s="135"/>
    </row>
    <row r="18" spans="1:7" x14ac:dyDescent="0.35">
      <c r="A18" s="21" t="s">
        <v>129</v>
      </c>
      <c r="B18" s="32"/>
      <c r="C18" s="32"/>
      <c r="D18" s="22"/>
      <c r="E18" s="18">
        <v>90.98</v>
      </c>
      <c r="F18" s="19">
        <v>1.0800000000000001E-2</v>
      </c>
      <c r="G18" s="136"/>
    </row>
    <row r="19" spans="1:7" x14ac:dyDescent="0.35">
      <c r="A19" s="12" t="s">
        <v>132</v>
      </c>
      <c r="B19" s="30"/>
      <c r="C19" s="30"/>
      <c r="D19" s="13"/>
      <c r="E19" s="14">
        <v>1.5224100000000001E-2</v>
      </c>
      <c r="F19" s="15">
        <v>9.9999999999999995E-7</v>
      </c>
      <c r="G19" s="135"/>
    </row>
    <row r="20" spans="1:7" x14ac:dyDescent="0.35">
      <c r="A20" s="12" t="s">
        <v>133</v>
      </c>
      <c r="B20" s="30"/>
      <c r="C20" s="30"/>
      <c r="D20" s="13"/>
      <c r="E20" s="23">
        <v>-3.0052241</v>
      </c>
      <c r="F20" s="24">
        <v>-3.01E-4</v>
      </c>
      <c r="G20" s="135">
        <v>6.1074000000000003E-2</v>
      </c>
    </row>
    <row r="21" spans="1:7" x14ac:dyDescent="0.35">
      <c r="A21" s="25" t="s">
        <v>134</v>
      </c>
      <c r="B21" s="33"/>
      <c r="C21" s="33"/>
      <c r="D21" s="26"/>
      <c r="E21" s="27">
        <v>8410.9699999999993</v>
      </c>
      <c r="F21" s="28">
        <v>1</v>
      </c>
      <c r="G21" s="28"/>
    </row>
    <row r="26" spans="1:7" x14ac:dyDescent="0.35">
      <c r="A26" s="1" t="s">
        <v>1981</v>
      </c>
    </row>
    <row r="27" spans="1:7" x14ac:dyDescent="0.35">
      <c r="A27" s="47" t="s">
        <v>1982</v>
      </c>
      <c r="B27" s="34" t="s">
        <v>96</v>
      </c>
    </row>
    <row r="28" spans="1:7" x14ac:dyDescent="0.35">
      <c r="A28" t="s">
        <v>1983</v>
      </c>
    </row>
    <row r="29" spans="1:7" x14ac:dyDescent="0.35">
      <c r="A29" t="s">
        <v>1984</v>
      </c>
      <c r="B29" t="s">
        <v>1985</v>
      </c>
      <c r="C29" t="s">
        <v>1985</v>
      </c>
    </row>
    <row r="30" spans="1:7" x14ac:dyDescent="0.35">
      <c r="B30" s="48">
        <v>44834</v>
      </c>
      <c r="C30" s="48">
        <v>44865</v>
      </c>
    </row>
    <row r="31" spans="1:7" x14ac:dyDescent="0.35">
      <c r="A31" t="s">
        <v>1989</v>
      </c>
      <c r="B31">
        <v>24.2425</v>
      </c>
      <c r="C31">
        <v>26.674800000000001</v>
      </c>
      <c r="E31" s="2"/>
      <c r="G31"/>
    </row>
    <row r="32" spans="1:7" x14ac:dyDescent="0.35">
      <c r="A32" t="s">
        <v>2014</v>
      </c>
      <c r="B32">
        <v>22.485299999999999</v>
      </c>
      <c r="C32">
        <v>24.722799999999999</v>
      </c>
      <c r="E32" s="2"/>
      <c r="G32"/>
    </row>
    <row r="33" spans="1:7" x14ac:dyDescent="0.35">
      <c r="E33" s="2"/>
      <c r="G33"/>
    </row>
    <row r="34" spans="1:7" x14ac:dyDescent="0.35">
      <c r="A34" t="s">
        <v>2000</v>
      </c>
      <c r="B34" s="34" t="s">
        <v>96</v>
      </c>
    </row>
    <row r="35" spans="1:7" x14ac:dyDescent="0.35">
      <c r="A35" t="s">
        <v>2001</v>
      </c>
      <c r="B35" s="34" t="s">
        <v>96</v>
      </c>
    </row>
    <row r="36" spans="1:7" ht="29" x14ac:dyDescent="0.35">
      <c r="A36" s="47" t="s">
        <v>2002</v>
      </c>
      <c r="B36" s="34" t="s">
        <v>96</v>
      </c>
    </row>
    <row r="37" spans="1:7" ht="29" x14ac:dyDescent="0.35">
      <c r="A37" s="47" t="s">
        <v>2003</v>
      </c>
      <c r="B37" s="49">
        <v>8322.9761479000008</v>
      </c>
    </row>
    <row r="38" spans="1:7" ht="43.5" x14ac:dyDescent="0.35">
      <c r="A38" s="47" t="s">
        <v>2055</v>
      </c>
      <c r="B38" s="34" t="s">
        <v>96</v>
      </c>
    </row>
    <row r="39" spans="1:7" ht="29" x14ac:dyDescent="0.35">
      <c r="A39" s="47" t="s">
        <v>2056</v>
      </c>
      <c r="B39" s="34" t="s">
        <v>96</v>
      </c>
    </row>
    <row r="40" spans="1:7" ht="29" x14ac:dyDescent="0.35">
      <c r="A40" s="47" t="s">
        <v>2057</v>
      </c>
      <c r="B40" s="34" t="s">
        <v>96</v>
      </c>
    </row>
    <row r="41" spans="1:7" ht="29" x14ac:dyDescent="0.35">
      <c r="A41" s="47" t="s">
        <v>2139</v>
      </c>
      <c r="B41" s="34" t="s">
        <v>96</v>
      </c>
    </row>
    <row r="42" spans="1:7" x14ac:dyDescent="0.35">
      <c r="A42" s="47"/>
      <c r="B42" s="34"/>
    </row>
    <row r="43" spans="1:7" ht="29" x14ac:dyDescent="0.35">
      <c r="A43" s="394" t="s">
        <v>2154</v>
      </c>
      <c r="B43" s="395" t="s">
        <v>2155</v>
      </c>
      <c r="C43" s="395" t="s">
        <v>2156</v>
      </c>
      <c r="D43" s="399" t="s">
        <v>2157</v>
      </c>
    </row>
    <row r="44" spans="1:7" ht="70" customHeight="1" x14ac:dyDescent="0.35">
      <c r="A44" s="398" t="s">
        <v>2227</v>
      </c>
      <c r="B44" s="396"/>
      <c r="C44" s="397" t="s">
        <v>2228</v>
      </c>
      <c r="D44" s="39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C6F7-A30B-4170-915F-169D158C2F88}">
  <dimension ref="A1:H44"/>
  <sheetViews>
    <sheetView showGridLines="0" workbookViewId="0">
      <pane ySplit="4" topLeftCell="A44" activePane="bottomLeft" state="frozen"/>
      <selection activeCell="A2" sqref="A2:XFD2"/>
      <selection pane="bottomLeft" activeCell="A48" sqref="A48"/>
    </sheetView>
  </sheetViews>
  <sheetFormatPr defaultRowHeight="14.5" x14ac:dyDescent="0.35"/>
  <cols>
    <col min="1" max="1" width="50.453125" customWidth="1"/>
    <col min="2" max="2" width="21.36328125" customWidth="1"/>
    <col min="3" max="3" width="26.6328125" customWidth="1"/>
    <col min="4" max="4" width="21.81640625" customWidth="1"/>
    <col min="5" max="5" width="16.453125" customWidth="1"/>
    <col min="6" max="6" width="15.26953125" customWidth="1"/>
    <col min="7" max="7" width="5.81640625" style="2" bestFit="1" customWidth="1"/>
    <col min="12" max="12" width="65.7265625" bestFit="1" customWidth="1"/>
    <col min="13" max="13" width="10" bestFit="1" customWidth="1"/>
    <col min="14" max="14" width="9.81640625" bestFit="1" customWidth="1"/>
    <col min="15" max="15" width="14.7265625" bestFit="1" customWidth="1"/>
    <col min="16" max="16" width="11.6328125" bestFit="1" customWidth="1"/>
  </cols>
  <sheetData>
    <row r="1" spans="1:8" ht="40.5" customHeight="1" x14ac:dyDescent="0.35">
      <c r="A1" s="151" t="s">
        <v>93</v>
      </c>
      <c r="B1" s="151"/>
      <c r="C1" s="151"/>
      <c r="D1" s="151"/>
      <c r="E1" s="151"/>
      <c r="F1" s="151"/>
      <c r="G1" s="151"/>
      <c r="H1" s="50" t="str">
        <f>HYPERLINK("[EDEL_Portfolio Monthly Notes 31-Oct-2022.xlsx]Index!A1","Index")</f>
        <v>Index</v>
      </c>
    </row>
    <row r="2" spans="1:8" ht="31" customHeight="1" x14ac:dyDescent="0.35">
      <c r="A2" s="151" t="s">
        <v>94</v>
      </c>
      <c r="B2" s="151"/>
      <c r="C2" s="151"/>
      <c r="D2" s="151"/>
      <c r="E2" s="151"/>
      <c r="F2" s="151"/>
      <c r="G2" s="151"/>
    </row>
    <row r="4" spans="1:8" ht="48" customHeight="1" x14ac:dyDescent="0.35">
      <c r="A4" s="3" t="s">
        <v>0</v>
      </c>
      <c r="B4" s="3" t="s">
        <v>1</v>
      </c>
      <c r="C4" s="3" t="s">
        <v>5</v>
      </c>
      <c r="D4" s="4" t="s">
        <v>2</v>
      </c>
      <c r="E4" s="5" t="s">
        <v>4</v>
      </c>
      <c r="F4" s="5" t="s">
        <v>3</v>
      </c>
      <c r="G4" s="6" t="s">
        <v>6</v>
      </c>
    </row>
    <row r="5" spans="1:8" x14ac:dyDescent="0.35">
      <c r="A5" s="7"/>
      <c r="B5" s="29"/>
      <c r="C5" s="29"/>
      <c r="D5" s="8"/>
      <c r="E5" s="9"/>
      <c r="F5" s="10"/>
      <c r="G5" s="11"/>
    </row>
    <row r="6" spans="1:8" x14ac:dyDescent="0.35">
      <c r="A6" s="12"/>
      <c r="B6" s="30"/>
      <c r="C6" s="30"/>
      <c r="D6" s="13"/>
      <c r="E6" s="14"/>
      <c r="F6" s="15"/>
      <c r="G6" s="15"/>
    </row>
    <row r="7" spans="1:8" x14ac:dyDescent="0.35">
      <c r="A7" s="16" t="s">
        <v>1920</v>
      </c>
      <c r="B7" s="30"/>
      <c r="C7" s="30"/>
      <c r="D7" s="13"/>
      <c r="E7" s="14"/>
      <c r="F7" s="15"/>
      <c r="G7" s="15"/>
    </row>
    <row r="8" spans="1:8" x14ac:dyDescent="0.35">
      <c r="A8" s="16" t="s">
        <v>1921</v>
      </c>
      <c r="B8" s="31"/>
      <c r="C8" s="31"/>
      <c r="D8" s="17"/>
      <c r="E8" s="46"/>
      <c r="F8" s="20"/>
      <c r="G8" s="20"/>
    </row>
    <row r="9" spans="1:8" x14ac:dyDescent="0.35">
      <c r="A9" s="12" t="s">
        <v>1979</v>
      </c>
      <c r="B9" s="30" t="s">
        <v>1980</v>
      </c>
      <c r="C9" s="30"/>
      <c r="D9" s="13">
        <v>1247111.78</v>
      </c>
      <c r="E9" s="14">
        <v>151828.98000000001</v>
      </c>
      <c r="F9" s="15">
        <v>0.99990000000000001</v>
      </c>
      <c r="G9" s="15"/>
    </row>
    <row r="10" spans="1:8" x14ac:dyDescent="0.35">
      <c r="A10" s="16" t="s">
        <v>102</v>
      </c>
      <c r="B10" s="31"/>
      <c r="C10" s="31"/>
      <c r="D10" s="17"/>
      <c r="E10" s="18">
        <v>151828.98000000001</v>
      </c>
      <c r="F10" s="19">
        <v>0.99990000000000001</v>
      </c>
      <c r="G10" s="20"/>
    </row>
    <row r="11" spans="1:8" x14ac:dyDescent="0.35">
      <c r="A11" s="12"/>
      <c r="B11" s="30"/>
      <c r="C11" s="30"/>
      <c r="D11" s="13"/>
      <c r="E11" s="14"/>
      <c r="F11" s="15"/>
      <c r="G11" s="15"/>
    </row>
    <row r="12" spans="1:8" x14ac:dyDescent="0.35">
      <c r="A12" s="21" t="s">
        <v>129</v>
      </c>
      <c r="B12" s="32"/>
      <c r="C12" s="32"/>
      <c r="D12" s="22"/>
      <c r="E12" s="18">
        <v>151828.98000000001</v>
      </c>
      <c r="F12" s="19">
        <v>0.99990000000000001</v>
      </c>
      <c r="G12" s="20"/>
    </row>
    <row r="13" spans="1:8" x14ac:dyDescent="0.35">
      <c r="A13" s="12"/>
      <c r="B13" s="30"/>
      <c r="C13" s="30"/>
      <c r="D13" s="13"/>
      <c r="E13" s="14"/>
      <c r="F13" s="15"/>
      <c r="G13" s="15"/>
    </row>
    <row r="14" spans="1:8" x14ac:dyDescent="0.35">
      <c r="A14" s="16" t="s">
        <v>130</v>
      </c>
      <c r="B14" s="30"/>
      <c r="C14" s="30"/>
      <c r="D14" s="13"/>
      <c r="E14" s="14"/>
      <c r="F14" s="15"/>
      <c r="G14" s="15"/>
    </row>
    <row r="15" spans="1:8" x14ac:dyDescent="0.35">
      <c r="A15" s="12" t="s">
        <v>131</v>
      </c>
      <c r="B15" s="30"/>
      <c r="C15" s="30"/>
      <c r="D15" s="13"/>
      <c r="E15" s="14">
        <v>679.89</v>
      </c>
      <c r="F15" s="15">
        <v>4.4999999999999997E-3</v>
      </c>
      <c r="G15" s="141">
        <v>6.1074000000000003E-2</v>
      </c>
    </row>
    <row r="16" spans="1:8" x14ac:dyDescent="0.35">
      <c r="A16" s="16" t="s">
        <v>102</v>
      </c>
      <c r="B16" s="31"/>
      <c r="C16" s="31"/>
      <c r="D16" s="17"/>
      <c r="E16" s="18">
        <v>679.89</v>
      </c>
      <c r="F16" s="19">
        <v>4.4999999999999997E-3</v>
      </c>
      <c r="G16" s="145"/>
    </row>
    <row r="17" spans="1:7" x14ac:dyDescent="0.35">
      <c r="A17" s="12"/>
      <c r="B17" s="30"/>
      <c r="C17" s="30"/>
      <c r="D17" s="13"/>
      <c r="E17" s="14"/>
      <c r="F17" s="15"/>
      <c r="G17" s="141"/>
    </row>
    <row r="18" spans="1:7" x14ac:dyDescent="0.35">
      <c r="A18" s="21" t="s">
        <v>129</v>
      </c>
      <c r="B18" s="32"/>
      <c r="C18" s="32"/>
      <c r="D18" s="22"/>
      <c r="E18" s="18">
        <v>679.89</v>
      </c>
      <c r="F18" s="19">
        <v>4.4999999999999997E-3</v>
      </c>
      <c r="G18" s="145"/>
    </row>
    <row r="19" spans="1:7" x14ac:dyDescent="0.35">
      <c r="A19" s="12" t="s">
        <v>132</v>
      </c>
      <c r="B19" s="30"/>
      <c r="C19" s="30"/>
      <c r="D19" s="13"/>
      <c r="E19" s="14">
        <v>0.11376269999999999</v>
      </c>
      <c r="F19" s="15">
        <v>0</v>
      </c>
      <c r="G19" s="141"/>
    </row>
    <row r="20" spans="1:7" x14ac:dyDescent="0.35">
      <c r="A20" s="12" t="s">
        <v>133</v>
      </c>
      <c r="B20" s="30"/>
      <c r="C20" s="30"/>
      <c r="D20" s="13"/>
      <c r="E20" s="23">
        <v>-663.49376270000005</v>
      </c>
      <c r="F20" s="24">
        <v>-4.4000000000000003E-3</v>
      </c>
      <c r="G20" s="141">
        <v>6.1074000000000003E-2</v>
      </c>
    </row>
    <row r="21" spans="1:7" x14ac:dyDescent="0.35">
      <c r="A21" s="25" t="s">
        <v>134</v>
      </c>
      <c r="B21" s="33"/>
      <c r="C21" s="33"/>
      <c r="D21" s="26"/>
      <c r="E21" s="27">
        <v>151845.49</v>
      </c>
      <c r="F21" s="28">
        <v>1</v>
      </c>
      <c r="G21" s="28"/>
    </row>
    <row r="26" spans="1:7" x14ac:dyDescent="0.35">
      <c r="A26" s="1" t="s">
        <v>1981</v>
      </c>
    </row>
    <row r="27" spans="1:7" x14ac:dyDescent="0.35">
      <c r="A27" s="47" t="s">
        <v>1982</v>
      </c>
      <c r="B27" s="34" t="s">
        <v>96</v>
      </c>
    </row>
    <row r="28" spans="1:7" x14ac:dyDescent="0.35">
      <c r="A28" t="s">
        <v>1983</v>
      </c>
    </row>
    <row r="29" spans="1:7" x14ac:dyDescent="0.35">
      <c r="A29" t="s">
        <v>1984</v>
      </c>
      <c r="B29" t="s">
        <v>1985</v>
      </c>
      <c r="C29" t="s">
        <v>1985</v>
      </c>
    </row>
    <row r="30" spans="1:7" x14ac:dyDescent="0.35">
      <c r="B30" s="48">
        <v>44834</v>
      </c>
      <c r="C30" s="48">
        <v>44865</v>
      </c>
    </row>
    <row r="31" spans="1:7" x14ac:dyDescent="0.35">
      <c r="A31" t="s">
        <v>1989</v>
      </c>
      <c r="B31">
        <v>13.077</v>
      </c>
      <c r="C31">
        <v>13.3096</v>
      </c>
      <c r="E31" s="2"/>
      <c r="G31"/>
    </row>
    <row r="32" spans="1:7" x14ac:dyDescent="0.35">
      <c r="A32" t="s">
        <v>2014</v>
      </c>
      <c r="B32">
        <v>12.7395</v>
      </c>
      <c r="C32">
        <v>12.955500000000001</v>
      </c>
      <c r="E32" s="2"/>
      <c r="G32"/>
    </row>
    <row r="33" spans="1:7" x14ac:dyDescent="0.35">
      <c r="E33" s="2"/>
      <c r="G33"/>
    </row>
    <row r="34" spans="1:7" x14ac:dyDescent="0.35">
      <c r="A34" t="s">
        <v>2000</v>
      </c>
      <c r="B34" s="34" t="s">
        <v>96</v>
      </c>
    </row>
    <row r="35" spans="1:7" x14ac:dyDescent="0.35">
      <c r="A35" t="s">
        <v>2001</v>
      </c>
      <c r="B35" s="34" t="s">
        <v>96</v>
      </c>
    </row>
    <row r="36" spans="1:7" ht="29" x14ac:dyDescent="0.35">
      <c r="A36" s="47" t="s">
        <v>2002</v>
      </c>
      <c r="B36" s="34" t="s">
        <v>96</v>
      </c>
    </row>
    <row r="37" spans="1:7" ht="29" x14ac:dyDescent="0.35">
      <c r="A37" s="47" t="s">
        <v>2003</v>
      </c>
      <c r="B37" s="49">
        <v>151828.984933</v>
      </c>
    </row>
    <row r="38" spans="1:7" ht="43.5" x14ac:dyDescent="0.35">
      <c r="A38" s="47" t="s">
        <v>2055</v>
      </c>
      <c r="B38" s="34" t="s">
        <v>96</v>
      </c>
    </row>
    <row r="39" spans="1:7" ht="29" x14ac:dyDescent="0.35">
      <c r="A39" s="47" t="s">
        <v>2056</v>
      </c>
      <c r="B39" s="34" t="s">
        <v>96</v>
      </c>
    </row>
    <row r="40" spans="1:7" ht="29" x14ac:dyDescent="0.35">
      <c r="A40" s="47" t="s">
        <v>2057</v>
      </c>
      <c r="B40" s="34" t="s">
        <v>96</v>
      </c>
    </row>
    <row r="41" spans="1:7" ht="29" x14ac:dyDescent="0.35">
      <c r="A41" s="47" t="s">
        <v>2139</v>
      </c>
      <c r="B41" s="34" t="s">
        <v>96</v>
      </c>
    </row>
    <row r="42" spans="1:7" x14ac:dyDescent="0.35">
      <c r="A42" s="47"/>
      <c r="B42" s="34"/>
    </row>
    <row r="43" spans="1:7" ht="29" x14ac:dyDescent="0.35">
      <c r="A43" s="400" t="s">
        <v>2154</v>
      </c>
      <c r="B43" s="402" t="s">
        <v>2155</v>
      </c>
      <c r="C43" s="402" t="s">
        <v>2156</v>
      </c>
      <c r="D43" s="406" t="s">
        <v>2157</v>
      </c>
    </row>
    <row r="44" spans="1:7" ht="71" customHeight="1" x14ac:dyDescent="0.35">
      <c r="A44" s="405" t="s">
        <v>2229</v>
      </c>
      <c r="B44" s="403"/>
      <c r="C44" s="404" t="s">
        <v>2230</v>
      </c>
      <c r="D44" s="403"/>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Index</vt:lpstr>
      <vt:lpstr>EDACBF</vt:lpstr>
      <vt:lpstr>EDBE23</vt:lpstr>
      <vt:lpstr>EDBE25</vt:lpstr>
      <vt:lpstr>EDBE30</vt:lpstr>
      <vt:lpstr>EDBE31</vt:lpstr>
      <vt:lpstr>EDBE32</vt:lpstr>
      <vt:lpstr>EDBPDF</vt:lpstr>
      <vt:lpstr>EDCG27</vt:lpstr>
      <vt:lpstr>EDCG37</vt:lpstr>
      <vt:lpstr>EDCPSF</vt:lpstr>
      <vt:lpstr>EDFF23</vt:lpstr>
      <vt:lpstr>EDFF25</vt:lpstr>
      <vt:lpstr>EDFF30</vt:lpstr>
      <vt:lpstr>EDFF31</vt:lpstr>
      <vt:lpstr>EDFF32</vt:lpstr>
      <vt:lpstr>EDGSEC</vt:lpstr>
      <vt:lpstr>EDNP27</vt:lpstr>
      <vt:lpstr>EDNPSF</vt:lpstr>
      <vt:lpstr>EDONTF</vt:lpstr>
      <vt:lpstr>EEARBF</vt:lpstr>
      <vt:lpstr>EEARFD</vt:lpstr>
      <vt:lpstr>EEDGEF</vt:lpstr>
      <vt:lpstr>EEECRF</vt:lpstr>
      <vt:lpstr>EEELSS</vt:lpstr>
      <vt:lpstr>EEEQTF</vt:lpstr>
      <vt:lpstr>EEESCF</vt:lpstr>
      <vt:lpstr>EEESSF</vt:lpstr>
      <vt:lpstr>EEFOCF</vt:lpstr>
      <vt:lpstr>EEIF30</vt:lpstr>
      <vt:lpstr>EEIF50</vt:lpstr>
      <vt:lpstr>EELMIF</vt:lpstr>
      <vt:lpstr>EEMOF1</vt:lpstr>
      <vt:lpstr>EENFBA</vt:lpstr>
      <vt:lpstr>EEPRUA</vt:lpstr>
      <vt:lpstr>EESMCF</vt:lpstr>
      <vt:lpstr>EGSFOF</vt:lpstr>
      <vt:lpstr>ELLIQF</vt:lpstr>
      <vt:lpstr>EOASEF</vt:lpstr>
      <vt:lpstr>EOCHIF</vt:lpstr>
      <vt:lpstr>EODWHF</vt:lpstr>
      <vt:lpstr>EOEDOF</vt:lpstr>
      <vt:lpstr>EOEMOP</vt:lpstr>
      <vt:lpstr>EOUSEF</vt:lpstr>
      <vt:lpstr>EOUSTF</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g.greysoft.001</dc:creator>
  <cp:lastModifiedBy>Nidhi Tiwari - AMC</cp:lastModifiedBy>
  <dcterms:created xsi:type="dcterms:W3CDTF">2015-12-17T12:36:10Z</dcterms:created>
  <dcterms:modified xsi:type="dcterms:W3CDTF">2022-11-09T09:43:04Z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e60c6-cef6-4cc0-a98d-364c7249d74b_Enabled">
    <vt:lpwstr>true</vt:lpwstr>
  </property>
  <property fmtid="{D5CDD505-2E9C-101B-9397-08002B2CF9AE}" pid="3" name="MSIP_Label_840e60c6-cef6-4cc0-a98d-364c7249d74b_SetDate">
    <vt:lpwstr>2022-11-04T17:50:59Z</vt:lpwstr>
  </property>
  <property fmtid="{D5CDD505-2E9C-101B-9397-08002B2CF9AE}" pid="4" name="MSIP_Label_840e60c6-cef6-4cc0-a98d-364c7249d74b_Method">
    <vt:lpwstr>Privileged</vt:lpwstr>
  </property>
  <property fmtid="{D5CDD505-2E9C-101B-9397-08002B2CF9AE}" pid="5" name="MSIP_Label_840e60c6-cef6-4cc0-a98d-364c7249d74b_Name">
    <vt:lpwstr>840e60c6-cef6-4cc0-a98d-364c7249d74b</vt:lpwstr>
  </property>
  <property fmtid="{D5CDD505-2E9C-101B-9397-08002B2CF9AE}" pid="6" name="MSIP_Label_840e60c6-cef6-4cc0-a98d-364c7249d74b_SiteId">
    <vt:lpwstr>b44900f1-2def-4c3b-9ec6-9020d604e19e</vt:lpwstr>
  </property>
  <property fmtid="{D5CDD505-2E9C-101B-9397-08002B2CF9AE}" pid="7" name="MSIP_Label_840e60c6-cef6-4cc0-a98d-364c7249d74b_ActionId">
    <vt:lpwstr>ccef3d40-37e3-4c88-9468-91fd493d484b</vt:lpwstr>
  </property>
  <property fmtid="{D5CDD505-2E9C-101B-9397-08002B2CF9AE}" pid="8" name="MSIP_Label_840e60c6-cef6-4cc0-a98d-364c7249d74b_ContentBits">
    <vt:lpwstr>1</vt:lpwstr>
  </property>
  <property fmtid="{D5CDD505-2E9C-101B-9397-08002B2CF9AE}" pid="9" name="MSIP_Label_fae7b159-da8a-4f43-b4ed-ba6115f6e9fb_Enabled">
    <vt:lpwstr>true</vt:lpwstr>
  </property>
  <property fmtid="{D5CDD505-2E9C-101B-9397-08002B2CF9AE}" pid="10" name="MSIP_Label_fae7b159-da8a-4f43-b4ed-ba6115f6e9fb_SetDate">
    <vt:lpwstr>2022-11-09T07:25:46Z</vt:lpwstr>
  </property>
  <property fmtid="{D5CDD505-2E9C-101B-9397-08002B2CF9AE}" pid="11" name="MSIP_Label_fae7b159-da8a-4f43-b4ed-ba6115f6e9fb_Method">
    <vt:lpwstr>Standard</vt:lpwstr>
  </property>
  <property fmtid="{D5CDD505-2E9C-101B-9397-08002B2CF9AE}" pid="12" name="MSIP_Label_fae7b159-da8a-4f43-b4ed-ba6115f6e9fb_Name">
    <vt:lpwstr>Internal_0</vt:lpwstr>
  </property>
  <property fmtid="{D5CDD505-2E9C-101B-9397-08002B2CF9AE}" pid="13" name="MSIP_Label_fae7b159-da8a-4f43-b4ed-ba6115f6e9fb_SiteId">
    <vt:lpwstr>76fd78b2-83b7-4fc7-b5ba-5f59f5beb8cc</vt:lpwstr>
  </property>
  <property fmtid="{D5CDD505-2E9C-101B-9397-08002B2CF9AE}" pid="14" name="MSIP_Label_fae7b159-da8a-4f43-b4ed-ba6115f6e9fb_ActionId">
    <vt:lpwstr>319c5701-e84c-4776-a039-99ed11c5cb04</vt:lpwstr>
  </property>
  <property fmtid="{D5CDD505-2E9C-101B-9397-08002B2CF9AE}" pid="15" name="MSIP_Label_fae7b159-da8a-4f43-b4ed-ba6115f6e9fb_ContentBits">
    <vt:lpwstr>0</vt:lpwstr>
  </property>
</Properties>
</file>